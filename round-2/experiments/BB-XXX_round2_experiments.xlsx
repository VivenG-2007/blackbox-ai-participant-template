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riments" sheetId="1" state="visible" r:id="rId3"/>
    <sheet name="Notes" sheetId="2" state="visible" r:id="rId4"/>
  </sheets>
  <definedNames>
    <definedName function="false" hidden="true" localSheetId="0" name="_xlnm._FilterDatabase" vbProcedure="false">Experiments!$A$1:$Q$57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<sst xmlns="http://schemas.openxmlformats.org/spreadsheetml/2006/main" count="258" uniqueCount="48">
  <si>
    <t xml:space="preserve">#</t>
  </si>
  <si>
    <t xml:space="preserve">Group</t>
  </si>
  <si>
    <t xml:space="preserve">Varied field(s)</t>
  </si>
  <si>
    <t xml:space="preserve">value</t>
  </si>
  <si>
    <t xml:space="preserve">column_2</t>
  </si>
  <si>
    <t xml:space="preserve">column_3</t>
  </si>
  <si>
    <t xml:space="preserve">port</t>
  </si>
  <si>
    <t xml:space="preserve">prior_shipments</t>
  </si>
  <si>
    <t xml:space="preserve">seizures</t>
  </si>
  <si>
    <t xml:space="preserve">route_age</t>
  </si>
  <si>
    <t xml:space="preserve">shipper_score</t>
  </si>
  <si>
    <t xml:space="preserve">containers</t>
  </si>
  <si>
    <t xml:space="preserve">transfers</t>
  </si>
  <si>
    <t xml:space="preserve">Model score</t>
  </si>
  <si>
    <t xml:space="preserve">Decision</t>
  </si>
  <si>
    <t xml:space="preserve">Δ reference</t>
  </si>
  <si>
    <t xml:space="preserve">Δ vs reference</t>
  </si>
  <si>
    <t xml:space="preserve">01 Column 2 sweep</t>
  </si>
  <si>
    <t xml:space="preserve">A</t>
  </si>
  <si>
    <t xml:space="preserve">baseline</t>
  </si>
  <si>
    <t xml:space="preserve">02 Column 3 sweep</t>
  </si>
  <si>
    <t xml:space="preserve">03 Recent seizures sweep</t>
  </si>
  <si>
    <t xml:space="preserve">04 Route age sweep</t>
  </si>
  <si>
    <t xml:space="preserve">05 Containers sweep</t>
  </si>
  <si>
    <t xml:space="preserve">06 Shipper score x seizures</t>
  </si>
  <si>
    <t xml:space="preserve">shipper_score, seizures</t>
  </si>
  <si>
    <t xml:space="preserve">07 Port comparison</t>
  </si>
  <si>
    <t xml:space="preserve">B</t>
  </si>
  <si>
    <t xml:space="preserve">C</t>
  </si>
  <si>
    <t xml:space="preserve">D</t>
  </si>
  <si>
    <t xml:space="preserve">08 Decision boundary</t>
  </si>
  <si>
    <t xml:space="preserve">DECLINE</t>
  </si>
  <si>
    <t xml:space="preserve">APPROVE</t>
  </si>
  <si>
    <t xml:space="preserve">09 Port C route age</t>
  </si>
  <si>
    <t xml:space="preserve">first row of group</t>
  </si>
  <si>
    <t xml:space="preserve">10 Best-anchor seizures</t>
  </si>
  <si>
    <t xml:space="preserve">Notes &amp; assumptions</t>
  </si>
  <si>
    <t xml:space="preserve">Baseline model score</t>
  </si>
  <si>
    <t xml:space="preserve">Score for baseline row 50,10,0.5,A,10,2.5,46.5,600,20,3 (from the supplied observations).</t>
  </si>
  <si>
    <t xml:space="preserve">Field order: value, column_2, column_3, port, prior_shipments, seizures, route_age, shipper_score, containers, transfers.</t>
  </si>
  <si>
    <t xml:space="preserve">Names for 'value', 'column_2' and 'column_3' are unconfirmed; they follow the original chart script.</t>
  </si>
  <si>
    <t xml:space="preserve">Groups 01-08 hold every other input at the baseline row; only the 'Varied field(s)' change.</t>
  </si>
  <si>
    <t xml:space="preserve">Group 06 overlaps groups 03 and 08 (same baseline cells appear in more than one group).</t>
  </si>
  <si>
    <t xml:space="preserve">Group 09 fixed inputs: 67,9.8,0.97,C,9.8,4.44,age,880,30,4.8</t>
  </si>
  <si>
    <t xml:space="preserve">Group 10 fixed inputs: 65,9.75,0.9,D,9.7,seizures,27.55,895,30.7,4.85</t>
  </si>
  <si>
    <t xml:space="preserve">Decision labels (APPROVE/DECLINE) exist only for the group 08 boundary rows.</t>
  </si>
  <si>
    <t xml:space="preserve">Blue = values supplied by you / taken from your observations. Black = formulas and labels.</t>
  </si>
  <si>
    <t xml:space="preserve">Original experiment IDs (e.g. R2-20) weren't in the data I had, so rows use a plain sequence number.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</si>
</sst>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\+0.0000;\-0.0000;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DC2626"/>
      <name val="Arial"/>
      <family val="0"/>
      <charset val="1"/>
    </font>
    <font>
      <b val="true"/>
      <sz val="11"/>
      <color rgb="FF16A34A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E293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16A34A"/>
          <bgColor rgb="FF000000"/>
        </patternFill>
      </fill>
    </dxf>
    <dxf>
      <fill>
        <patternFill patternType="solid">
          <fgColor rgb="FFDC2626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6A34A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6" min="5" style="0" width="10"/>
    <col collapsed="false" customWidth="true" hidden="false" outlineLevel="0" max="7" min="7" style="0" width="7"/>
    <col collapsed="false" customWidth="true" hidden="false" outlineLevel="0" max="8" min="8" style="0" width="15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3" min="12" style="0" width="11"/>
    <col collapsed="false" customWidth="true" hidden="false" outlineLevel="0" max="14" min="14" style="0" width="13"/>
    <col collapsed="false" customWidth="true" hidden="false" outlineLevel="0" max="15" min="15" style="0" width="11"/>
    <col collapsed="false" customWidth="true" hidden="false" outlineLevel="0" max="16" min="16" style="0" width="18"/>
    <col collapsed="false" customWidth="true" hidden="false" outlineLevel="0" max="17" min="17" style="0" width="15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n">
        <v>1</v>
      </c>
      <c r="B2" s="3" t="s">
        <v>17</v>
      </c>
      <c r="C2" s="3" t="s">
        <v>4</v>
      </c>
      <c r="D2" s="4" t="n">
        <v>50</v>
      </c>
      <c r="E2" s="4" t="n">
        <v>5</v>
      </c>
      <c r="F2" s="4" t="n">
        <v>0.5</v>
      </c>
      <c r="G2" s="5" t="s">
        <v>18</v>
      </c>
      <c r="H2" s="4" t="n">
        <v>10</v>
      </c>
      <c r="I2" s="4" t="n">
        <v>2.5</v>
      </c>
      <c r="J2" s="4" t="n">
        <v>46.5</v>
      </c>
      <c r="K2" s="4" t="n">
        <v>600</v>
      </c>
      <c r="L2" s="4" t="n">
        <v>20</v>
      </c>
      <c r="M2" s="4" t="n">
        <v>3</v>
      </c>
      <c r="N2" s="6" t="n">
        <v>0.5385</v>
      </c>
      <c r="O2" s="7"/>
      <c r="P2" s="3" t="s">
        <v>19</v>
      </c>
      <c r="Q2" s="8" t="n">
        <f aca="false">N2-Notes!$B$3</f>
        <v>0.023</v>
      </c>
    </row>
    <row r="3" customFormat="false" ht="15" hidden="false" customHeight="false" outlineLevel="0" collapsed="false">
      <c r="A3" s="2" t="n">
        <v>2</v>
      </c>
      <c r="B3" s="3" t="s">
        <v>17</v>
      </c>
      <c r="C3" s="3" t="s">
        <v>4</v>
      </c>
      <c r="D3" s="4" t="n">
        <v>50</v>
      </c>
      <c r="E3" s="4" t="n">
        <v>10</v>
      </c>
      <c r="F3" s="4" t="n">
        <v>0.5</v>
      </c>
      <c r="G3" s="5" t="s">
        <v>18</v>
      </c>
      <c r="H3" s="4" t="n">
        <v>10</v>
      </c>
      <c r="I3" s="4" t="n">
        <v>2.5</v>
      </c>
      <c r="J3" s="4" t="n">
        <v>46.5</v>
      </c>
      <c r="K3" s="4" t="n">
        <v>600</v>
      </c>
      <c r="L3" s="4" t="n">
        <v>20</v>
      </c>
      <c r="M3" s="4" t="n">
        <v>3</v>
      </c>
      <c r="N3" s="6" t="n">
        <v>0.5155</v>
      </c>
      <c r="O3" s="7"/>
      <c r="P3" s="3" t="s">
        <v>19</v>
      </c>
      <c r="Q3" s="8" t="n">
        <f aca="false">N3-Notes!$B$3</f>
        <v>0</v>
      </c>
    </row>
    <row r="4" customFormat="false" ht="15" hidden="false" customHeight="false" outlineLevel="0" collapsed="false">
      <c r="A4" s="2" t="n">
        <v>3</v>
      </c>
      <c r="B4" s="3" t="s">
        <v>17</v>
      </c>
      <c r="C4" s="3" t="s">
        <v>4</v>
      </c>
      <c r="D4" s="4" t="n">
        <v>50</v>
      </c>
      <c r="E4" s="4" t="n">
        <v>15</v>
      </c>
      <c r="F4" s="4" t="n">
        <v>0.5</v>
      </c>
      <c r="G4" s="5" t="s">
        <v>18</v>
      </c>
      <c r="H4" s="4" t="n">
        <v>10</v>
      </c>
      <c r="I4" s="4" t="n">
        <v>2.5</v>
      </c>
      <c r="J4" s="4" t="n">
        <v>46.5</v>
      </c>
      <c r="K4" s="4" t="n">
        <v>600</v>
      </c>
      <c r="L4" s="4" t="n">
        <v>20</v>
      </c>
      <c r="M4" s="4" t="n">
        <v>3</v>
      </c>
      <c r="N4" s="6" t="n">
        <v>0.4604</v>
      </c>
      <c r="O4" s="7"/>
      <c r="P4" s="3" t="s">
        <v>19</v>
      </c>
      <c r="Q4" s="8" t="n">
        <f aca="false">N4-Notes!$B$3</f>
        <v>-0.0551</v>
      </c>
    </row>
    <row r="5" customFormat="false" ht="15" hidden="false" customHeight="false" outlineLevel="0" collapsed="false">
      <c r="A5" s="2" t="n">
        <v>4</v>
      </c>
      <c r="B5" s="3" t="s">
        <v>17</v>
      </c>
      <c r="C5" s="3" t="s">
        <v>4</v>
      </c>
      <c r="D5" s="4" t="n">
        <v>50</v>
      </c>
      <c r="E5" s="4" t="n">
        <v>20</v>
      </c>
      <c r="F5" s="4" t="n">
        <v>0.5</v>
      </c>
      <c r="G5" s="5" t="s">
        <v>18</v>
      </c>
      <c r="H5" s="4" t="n">
        <v>10</v>
      </c>
      <c r="I5" s="4" t="n">
        <v>2.5</v>
      </c>
      <c r="J5" s="4" t="n">
        <v>46.5</v>
      </c>
      <c r="K5" s="4" t="n">
        <v>600</v>
      </c>
      <c r="L5" s="4" t="n">
        <v>20</v>
      </c>
      <c r="M5" s="4" t="n">
        <v>3</v>
      </c>
      <c r="N5" s="6" t="n">
        <v>0.4546</v>
      </c>
      <c r="O5" s="7"/>
      <c r="P5" s="3" t="s">
        <v>19</v>
      </c>
      <c r="Q5" s="8" t="n">
        <f aca="false">N5-Notes!$B$3</f>
        <v>-0.0609</v>
      </c>
    </row>
    <row r="6" customFormat="false" ht="15" hidden="false" customHeight="false" outlineLevel="0" collapsed="false">
      <c r="A6" s="2" t="n">
        <v>5</v>
      </c>
      <c r="B6" s="3" t="s">
        <v>20</v>
      </c>
      <c r="C6" s="3" t="s">
        <v>5</v>
      </c>
      <c r="D6" s="4" t="n">
        <v>50</v>
      </c>
      <c r="E6" s="4" t="n">
        <v>10</v>
      </c>
      <c r="F6" s="4" t="n">
        <v>0.3</v>
      </c>
      <c r="G6" s="5" t="s">
        <v>18</v>
      </c>
      <c r="H6" s="4" t="n">
        <v>10</v>
      </c>
      <c r="I6" s="4" t="n">
        <v>2.5</v>
      </c>
      <c r="J6" s="4" t="n">
        <v>46.5</v>
      </c>
      <c r="K6" s="4" t="n">
        <v>600</v>
      </c>
      <c r="L6" s="4" t="n">
        <v>20</v>
      </c>
      <c r="M6" s="4" t="n">
        <v>3</v>
      </c>
      <c r="N6" s="6" t="n">
        <v>0.3917</v>
      </c>
      <c r="O6" s="7"/>
      <c r="P6" s="3" t="s">
        <v>19</v>
      </c>
      <c r="Q6" s="8" t="n">
        <f aca="false">N6-Notes!$B$3</f>
        <v>-0.1238</v>
      </c>
    </row>
    <row r="7" customFormat="false" ht="15" hidden="false" customHeight="false" outlineLevel="0" collapsed="false">
      <c r="A7" s="2" t="n">
        <v>6</v>
      </c>
      <c r="B7" s="3" t="s">
        <v>20</v>
      </c>
      <c r="C7" s="3" t="s">
        <v>5</v>
      </c>
      <c r="D7" s="4" t="n">
        <v>50</v>
      </c>
      <c r="E7" s="4" t="n">
        <v>10</v>
      </c>
      <c r="F7" s="4" t="n">
        <v>0.4</v>
      </c>
      <c r="G7" s="5" t="s">
        <v>18</v>
      </c>
      <c r="H7" s="4" t="n">
        <v>10</v>
      </c>
      <c r="I7" s="4" t="n">
        <v>2.5</v>
      </c>
      <c r="J7" s="4" t="n">
        <v>46.5</v>
      </c>
      <c r="K7" s="4" t="n">
        <v>600</v>
      </c>
      <c r="L7" s="4" t="n">
        <v>20</v>
      </c>
      <c r="M7" s="4" t="n">
        <v>3</v>
      </c>
      <c r="N7" s="6" t="n">
        <v>0.4353</v>
      </c>
      <c r="O7" s="7"/>
      <c r="P7" s="3" t="s">
        <v>19</v>
      </c>
      <c r="Q7" s="8" t="n">
        <f aca="false">N7-Notes!$B$3</f>
        <v>-0.0801999999999999</v>
      </c>
    </row>
    <row r="8" customFormat="false" ht="15" hidden="false" customHeight="false" outlineLevel="0" collapsed="false">
      <c r="A8" s="2" t="n">
        <v>7</v>
      </c>
      <c r="B8" s="3" t="s">
        <v>20</v>
      </c>
      <c r="C8" s="3" t="s">
        <v>5</v>
      </c>
      <c r="D8" s="4" t="n">
        <v>50</v>
      </c>
      <c r="E8" s="4" t="n">
        <v>10</v>
      </c>
      <c r="F8" s="4" t="n">
        <v>0.5</v>
      </c>
      <c r="G8" s="5" t="s">
        <v>18</v>
      </c>
      <c r="H8" s="4" t="n">
        <v>10</v>
      </c>
      <c r="I8" s="4" t="n">
        <v>2.5</v>
      </c>
      <c r="J8" s="4" t="n">
        <v>46.5</v>
      </c>
      <c r="K8" s="4" t="n">
        <v>600</v>
      </c>
      <c r="L8" s="4" t="n">
        <v>20</v>
      </c>
      <c r="M8" s="4" t="n">
        <v>3</v>
      </c>
      <c r="N8" s="6" t="n">
        <v>0.5155</v>
      </c>
      <c r="O8" s="7"/>
      <c r="P8" s="3" t="s">
        <v>19</v>
      </c>
      <c r="Q8" s="8" t="n">
        <f aca="false">N8-Notes!$B$3</f>
        <v>0</v>
      </c>
    </row>
    <row r="9" customFormat="false" ht="15" hidden="false" customHeight="false" outlineLevel="0" collapsed="false">
      <c r="A9" s="2" t="n">
        <v>8</v>
      </c>
      <c r="B9" s="3" t="s">
        <v>20</v>
      </c>
      <c r="C9" s="3" t="s">
        <v>5</v>
      </c>
      <c r="D9" s="4" t="n">
        <v>50</v>
      </c>
      <c r="E9" s="4" t="n">
        <v>10</v>
      </c>
      <c r="F9" s="4" t="n">
        <v>0.525</v>
      </c>
      <c r="G9" s="5" t="s">
        <v>18</v>
      </c>
      <c r="H9" s="4" t="n">
        <v>10</v>
      </c>
      <c r="I9" s="4" t="n">
        <v>2.5</v>
      </c>
      <c r="J9" s="4" t="n">
        <v>46.5</v>
      </c>
      <c r="K9" s="4" t="n">
        <v>600</v>
      </c>
      <c r="L9" s="4" t="n">
        <v>20</v>
      </c>
      <c r="M9" s="4" t="n">
        <v>3</v>
      </c>
      <c r="N9" s="6" t="n">
        <v>0.5325</v>
      </c>
      <c r="O9" s="7"/>
      <c r="P9" s="3" t="s">
        <v>19</v>
      </c>
      <c r="Q9" s="8" t="n">
        <f aca="false">N9-Notes!$B$3</f>
        <v>0.017</v>
      </c>
    </row>
    <row r="10" customFormat="false" ht="15" hidden="false" customHeight="false" outlineLevel="0" collapsed="false">
      <c r="A10" s="2" t="n">
        <v>9</v>
      </c>
      <c r="B10" s="3" t="s">
        <v>20</v>
      </c>
      <c r="C10" s="3" t="s">
        <v>5</v>
      </c>
      <c r="D10" s="4" t="n">
        <v>50</v>
      </c>
      <c r="E10" s="4" t="n">
        <v>10</v>
      </c>
      <c r="F10" s="4" t="n">
        <v>0.55</v>
      </c>
      <c r="G10" s="5" t="s">
        <v>18</v>
      </c>
      <c r="H10" s="4" t="n">
        <v>10</v>
      </c>
      <c r="I10" s="4" t="n">
        <v>2.5</v>
      </c>
      <c r="J10" s="4" t="n">
        <v>46.5</v>
      </c>
      <c r="K10" s="4" t="n">
        <v>600</v>
      </c>
      <c r="L10" s="4" t="n">
        <v>20</v>
      </c>
      <c r="M10" s="4" t="n">
        <v>3</v>
      </c>
      <c r="N10" s="6" t="n">
        <v>0.5675</v>
      </c>
      <c r="O10" s="7"/>
      <c r="P10" s="3" t="s">
        <v>19</v>
      </c>
      <c r="Q10" s="8" t="n">
        <f aca="false">N10-Notes!$B$3</f>
        <v>0.052</v>
      </c>
    </row>
    <row r="11" customFormat="false" ht="15" hidden="false" customHeight="false" outlineLevel="0" collapsed="false">
      <c r="A11" s="2" t="n">
        <v>10</v>
      </c>
      <c r="B11" s="3" t="s">
        <v>20</v>
      </c>
      <c r="C11" s="3" t="s">
        <v>5</v>
      </c>
      <c r="D11" s="4" t="n">
        <v>50</v>
      </c>
      <c r="E11" s="4" t="n">
        <v>10</v>
      </c>
      <c r="F11" s="4" t="n">
        <v>0.575</v>
      </c>
      <c r="G11" s="5" t="s">
        <v>18</v>
      </c>
      <c r="H11" s="4" t="n">
        <v>10</v>
      </c>
      <c r="I11" s="4" t="n">
        <v>2.5</v>
      </c>
      <c r="J11" s="4" t="n">
        <v>46.5</v>
      </c>
      <c r="K11" s="4" t="n">
        <v>600</v>
      </c>
      <c r="L11" s="4" t="n">
        <v>20</v>
      </c>
      <c r="M11" s="4" t="n">
        <v>3</v>
      </c>
      <c r="N11" s="6" t="n">
        <v>0.5856</v>
      </c>
      <c r="O11" s="7"/>
      <c r="P11" s="3" t="s">
        <v>19</v>
      </c>
      <c r="Q11" s="8" t="n">
        <f aca="false">N11-Notes!$B$3</f>
        <v>0.0701000000000001</v>
      </c>
    </row>
    <row r="12" customFormat="false" ht="15" hidden="false" customHeight="false" outlineLevel="0" collapsed="false">
      <c r="A12" s="2" t="n">
        <v>11</v>
      </c>
      <c r="B12" s="3" t="s">
        <v>20</v>
      </c>
      <c r="C12" s="3" t="s">
        <v>5</v>
      </c>
      <c r="D12" s="4" t="n">
        <v>50</v>
      </c>
      <c r="E12" s="4" t="n">
        <v>10</v>
      </c>
      <c r="F12" s="4" t="n">
        <v>0.6</v>
      </c>
      <c r="G12" s="5" t="s">
        <v>18</v>
      </c>
      <c r="H12" s="4" t="n">
        <v>10</v>
      </c>
      <c r="I12" s="4" t="n">
        <v>2.5</v>
      </c>
      <c r="J12" s="4" t="n">
        <v>46.5</v>
      </c>
      <c r="K12" s="4" t="n">
        <v>600</v>
      </c>
      <c r="L12" s="4" t="n">
        <v>20</v>
      </c>
      <c r="M12" s="4" t="n">
        <v>3</v>
      </c>
      <c r="N12" s="6" t="n">
        <v>0.6451</v>
      </c>
      <c r="O12" s="7"/>
      <c r="P12" s="3" t="s">
        <v>19</v>
      </c>
      <c r="Q12" s="8" t="n">
        <f aca="false">N12-Notes!$B$3</f>
        <v>0.1296</v>
      </c>
    </row>
    <row r="13" customFormat="false" ht="15" hidden="false" customHeight="false" outlineLevel="0" collapsed="false">
      <c r="A13" s="2" t="n">
        <v>12</v>
      </c>
      <c r="B13" s="3" t="s">
        <v>20</v>
      </c>
      <c r="C13" s="3" t="s">
        <v>5</v>
      </c>
      <c r="D13" s="4" t="n">
        <v>50</v>
      </c>
      <c r="E13" s="4" t="n">
        <v>10</v>
      </c>
      <c r="F13" s="4" t="n">
        <v>0.7</v>
      </c>
      <c r="G13" s="5" t="s">
        <v>18</v>
      </c>
      <c r="H13" s="4" t="n">
        <v>10</v>
      </c>
      <c r="I13" s="4" t="n">
        <v>2.5</v>
      </c>
      <c r="J13" s="4" t="n">
        <v>46.5</v>
      </c>
      <c r="K13" s="4" t="n">
        <v>600</v>
      </c>
      <c r="L13" s="4" t="n">
        <v>20</v>
      </c>
      <c r="M13" s="4" t="n">
        <v>3</v>
      </c>
      <c r="N13" s="6" t="n">
        <v>0.6841</v>
      </c>
      <c r="O13" s="7"/>
      <c r="P13" s="3" t="s">
        <v>19</v>
      </c>
      <c r="Q13" s="8" t="n">
        <f aca="false">N13-Notes!$B$3</f>
        <v>0.1686</v>
      </c>
    </row>
    <row r="14" customFormat="false" ht="15" hidden="false" customHeight="false" outlineLevel="0" collapsed="false">
      <c r="A14" s="2" t="n">
        <v>13</v>
      </c>
      <c r="B14" s="3" t="s">
        <v>21</v>
      </c>
      <c r="C14" s="3" t="s">
        <v>8</v>
      </c>
      <c r="D14" s="4" t="n">
        <v>50</v>
      </c>
      <c r="E14" s="4" t="n">
        <v>10</v>
      </c>
      <c r="F14" s="4" t="n">
        <v>0.5</v>
      </c>
      <c r="G14" s="5" t="s">
        <v>18</v>
      </c>
      <c r="H14" s="4" t="n">
        <v>10</v>
      </c>
      <c r="I14" s="4" t="n">
        <v>1.5</v>
      </c>
      <c r="J14" s="4" t="n">
        <v>46.5</v>
      </c>
      <c r="K14" s="4" t="n">
        <v>600</v>
      </c>
      <c r="L14" s="4" t="n">
        <v>20</v>
      </c>
      <c r="M14" s="4" t="n">
        <v>3</v>
      </c>
      <c r="N14" s="6" t="n">
        <v>0.4613</v>
      </c>
      <c r="O14" s="7"/>
      <c r="P14" s="3" t="s">
        <v>19</v>
      </c>
      <c r="Q14" s="8" t="n">
        <f aca="false">N14-Notes!$B$3</f>
        <v>-0.0542</v>
      </c>
    </row>
    <row r="15" customFormat="false" ht="15" hidden="false" customHeight="false" outlineLevel="0" collapsed="false">
      <c r="A15" s="2" t="n">
        <v>14</v>
      </c>
      <c r="B15" s="3" t="s">
        <v>21</v>
      </c>
      <c r="C15" s="3" t="s">
        <v>8</v>
      </c>
      <c r="D15" s="4" t="n">
        <v>50</v>
      </c>
      <c r="E15" s="4" t="n">
        <v>10</v>
      </c>
      <c r="F15" s="4" t="n">
        <v>0.5</v>
      </c>
      <c r="G15" s="5" t="s">
        <v>18</v>
      </c>
      <c r="H15" s="4" t="n">
        <v>10</v>
      </c>
      <c r="I15" s="4" t="n">
        <v>2.5</v>
      </c>
      <c r="J15" s="4" t="n">
        <v>46.5</v>
      </c>
      <c r="K15" s="4" t="n">
        <v>600</v>
      </c>
      <c r="L15" s="4" t="n">
        <v>20</v>
      </c>
      <c r="M15" s="4" t="n">
        <v>3</v>
      </c>
      <c r="N15" s="6" t="n">
        <v>0.5155</v>
      </c>
      <c r="O15" s="7"/>
      <c r="P15" s="3" t="s">
        <v>19</v>
      </c>
      <c r="Q15" s="8" t="n">
        <f aca="false">N15-Notes!$B$3</f>
        <v>0</v>
      </c>
    </row>
    <row r="16" customFormat="false" ht="15" hidden="false" customHeight="false" outlineLevel="0" collapsed="false">
      <c r="A16" s="2" t="n">
        <v>15</v>
      </c>
      <c r="B16" s="3" t="s">
        <v>21</v>
      </c>
      <c r="C16" s="3" t="s">
        <v>8</v>
      </c>
      <c r="D16" s="4" t="n">
        <v>50</v>
      </c>
      <c r="E16" s="4" t="n">
        <v>10</v>
      </c>
      <c r="F16" s="4" t="n">
        <v>0.5</v>
      </c>
      <c r="G16" s="5" t="s">
        <v>18</v>
      </c>
      <c r="H16" s="4" t="n">
        <v>10</v>
      </c>
      <c r="I16" s="4" t="n">
        <v>3</v>
      </c>
      <c r="J16" s="4" t="n">
        <v>46.5</v>
      </c>
      <c r="K16" s="4" t="n">
        <v>600</v>
      </c>
      <c r="L16" s="4" t="n">
        <v>20</v>
      </c>
      <c r="M16" s="4" t="n">
        <v>3</v>
      </c>
      <c r="N16" s="6" t="n">
        <v>0.6305</v>
      </c>
      <c r="O16" s="7"/>
      <c r="P16" s="3" t="s">
        <v>19</v>
      </c>
      <c r="Q16" s="8" t="n">
        <f aca="false">N16-Notes!$B$3</f>
        <v>0.115</v>
      </c>
    </row>
    <row r="17" customFormat="false" ht="15" hidden="false" customHeight="false" outlineLevel="0" collapsed="false">
      <c r="A17" s="2" t="n">
        <v>16</v>
      </c>
      <c r="B17" s="3" t="s">
        <v>21</v>
      </c>
      <c r="C17" s="3" t="s">
        <v>8</v>
      </c>
      <c r="D17" s="4" t="n">
        <v>50</v>
      </c>
      <c r="E17" s="4" t="n">
        <v>10</v>
      </c>
      <c r="F17" s="4" t="n">
        <v>0.5</v>
      </c>
      <c r="G17" s="5" t="s">
        <v>18</v>
      </c>
      <c r="H17" s="4" t="n">
        <v>10</v>
      </c>
      <c r="I17" s="4" t="n">
        <v>3.5</v>
      </c>
      <c r="J17" s="4" t="n">
        <v>46.5</v>
      </c>
      <c r="K17" s="4" t="n">
        <v>600</v>
      </c>
      <c r="L17" s="4" t="n">
        <v>20</v>
      </c>
      <c r="M17" s="4" t="n">
        <v>3</v>
      </c>
      <c r="N17" s="6" t="n">
        <v>0.6413</v>
      </c>
      <c r="O17" s="7"/>
      <c r="P17" s="3" t="s">
        <v>19</v>
      </c>
      <c r="Q17" s="8" t="n">
        <f aca="false">N17-Notes!$B$3</f>
        <v>0.1258</v>
      </c>
    </row>
    <row r="18" customFormat="false" ht="15" hidden="false" customHeight="false" outlineLevel="0" collapsed="false">
      <c r="A18" s="2" t="n">
        <v>17</v>
      </c>
      <c r="B18" s="3" t="s">
        <v>22</v>
      </c>
      <c r="C18" s="3" t="s">
        <v>9</v>
      </c>
      <c r="D18" s="4" t="n">
        <v>50</v>
      </c>
      <c r="E18" s="4" t="n">
        <v>10</v>
      </c>
      <c r="F18" s="4" t="n">
        <v>0.5</v>
      </c>
      <c r="G18" s="5" t="s">
        <v>18</v>
      </c>
      <c r="H18" s="4" t="n">
        <v>10</v>
      </c>
      <c r="I18" s="4" t="n">
        <v>2.5</v>
      </c>
      <c r="J18" s="4" t="n">
        <v>25</v>
      </c>
      <c r="K18" s="4" t="n">
        <v>600</v>
      </c>
      <c r="L18" s="4" t="n">
        <v>20</v>
      </c>
      <c r="M18" s="4" t="n">
        <v>3</v>
      </c>
      <c r="N18" s="6" t="n">
        <v>0.7658</v>
      </c>
      <c r="O18" s="7"/>
      <c r="P18" s="3" t="s">
        <v>19</v>
      </c>
      <c r="Q18" s="8" t="n">
        <f aca="false">N18-Notes!$B$3</f>
        <v>0.2503</v>
      </c>
    </row>
    <row r="19" customFormat="false" ht="15" hidden="false" customHeight="false" outlineLevel="0" collapsed="false">
      <c r="A19" s="2" t="n">
        <v>18</v>
      </c>
      <c r="B19" s="3" t="s">
        <v>22</v>
      </c>
      <c r="C19" s="3" t="s">
        <v>9</v>
      </c>
      <c r="D19" s="4" t="n">
        <v>50</v>
      </c>
      <c r="E19" s="4" t="n">
        <v>10</v>
      </c>
      <c r="F19" s="4" t="n">
        <v>0.5</v>
      </c>
      <c r="G19" s="5" t="s">
        <v>18</v>
      </c>
      <c r="H19" s="4" t="n">
        <v>10</v>
      </c>
      <c r="I19" s="4" t="n">
        <v>2.5</v>
      </c>
      <c r="J19" s="4" t="n">
        <v>36.5</v>
      </c>
      <c r="K19" s="4" t="n">
        <v>600</v>
      </c>
      <c r="L19" s="4" t="n">
        <v>20</v>
      </c>
      <c r="M19" s="4" t="n">
        <v>3</v>
      </c>
      <c r="N19" s="6" t="n">
        <v>0.676</v>
      </c>
      <c r="O19" s="7"/>
      <c r="P19" s="3" t="s">
        <v>19</v>
      </c>
      <c r="Q19" s="8" t="n">
        <f aca="false">N19-Notes!$B$3</f>
        <v>0.1605</v>
      </c>
    </row>
    <row r="20" customFormat="false" ht="15" hidden="false" customHeight="false" outlineLevel="0" collapsed="false">
      <c r="A20" s="2" t="n">
        <v>19</v>
      </c>
      <c r="B20" s="3" t="s">
        <v>22</v>
      </c>
      <c r="C20" s="3" t="s">
        <v>9</v>
      </c>
      <c r="D20" s="4" t="n">
        <v>50</v>
      </c>
      <c r="E20" s="4" t="n">
        <v>10</v>
      </c>
      <c r="F20" s="4" t="n">
        <v>0.5</v>
      </c>
      <c r="G20" s="5" t="s">
        <v>18</v>
      </c>
      <c r="H20" s="4" t="n">
        <v>10</v>
      </c>
      <c r="I20" s="4" t="n">
        <v>2.5</v>
      </c>
      <c r="J20" s="4" t="n">
        <v>41.5</v>
      </c>
      <c r="K20" s="4" t="n">
        <v>600</v>
      </c>
      <c r="L20" s="4" t="n">
        <v>20</v>
      </c>
      <c r="M20" s="4" t="n">
        <v>3</v>
      </c>
      <c r="N20" s="6" t="n">
        <v>0.619</v>
      </c>
      <c r="O20" s="7"/>
      <c r="P20" s="3" t="s">
        <v>19</v>
      </c>
      <c r="Q20" s="8" t="n">
        <f aca="false">N20-Notes!$B$3</f>
        <v>0.1035</v>
      </c>
    </row>
    <row r="21" customFormat="false" ht="15" hidden="false" customHeight="false" outlineLevel="0" collapsed="false">
      <c r="A21" s="2" t="n">
        <v>20</v>
      </c>
      <c r="B21" s="3" t="s">
        <v>22</v>
      </c>
      <c r="C21" s="3" t="s">
        <v>9</v>
      </c>
      <c r="D21" s="4" t="n">
        <v>50</v>
      </c>
      <c r="E21" s="4" t="n">
        <v>10</v>
      </c>
      <c r="F21" s="4" t="n">
        <v>0.5</v>
      </c>
      <c r="G21" s="5" t="s">
        <v>18</v>
      </c>
      <c r="H21" s="4" t="n">
        <v>10</v>
      </c>
      <c r="I21" s="4" t="n">
        <v>2.5</v>
      </c>
      <c r="J21" s="4" t="n">
        <v>46.5</v>
      </c>
      <c r="K21" s="4" t="n">
        <v>600</v>
      </c>
      <c r="L21" s="4" t="n">
        <v>20</v>
      </c>
      <c r="M21" s="4" t="n">
        <v>3</v>
      </c>
      <c r="N21" s="6" t="n">
        <v>0.5155</v>
      </c>
      <c r="O21" s="7"/>
      <c r="P21" s="3" t="s">
        <v>19</v>
      </c>
      <c r="Q21" s="8" t="n">
        <f aca="false">N21-Notes!$B$3</f>
        <v>0</v>
      </c>
    </row>
    <row r="22" customFormat="false" ht="15" hidden="false" customHeight="false" outlineLevel="0" collapsed="false">
      <c r="A22" s="2" t="n">
        <v>21</v>
      </c>
      <c r="B22" s="3" t="s">
        <v>22</v>
      </c>
      <c r="C22" s="3" t="s">
        <v>9</v>
      </c>
      <c r="D22" s="4" t="n">
        <v>50</v>
      </c>
      <c r="E22" s="4" t="n">
        <v>10</v>
      </c>
      <c r="F22" s="4" t="n">
        <v>0.5</v>
      </c>
      <c r="G22" s="5" t="s">
        <v>18</v>
      </c>
      <c r="H22" s="4" t="n">
        <v>10</v>
      </c>
      <c r="I22" s="4" t="n">
        <v>2.5</v>
      </c>
      <c r="J22" s="4" t="n">
        <v>51.5</v>
      </c>
      <c r="K22" s="4" t="n">
        <v>600</v>
      </c>
      <c r="L22" s="4" t="n">
        <v>20</v>
      </c>
      <c r="M22" s="4" t="n">
        <v>3</v>
      </c>
      <c r="N22" s="6" t="n">
        <v>0.4793</v>
      </c>
      <c r="O22" s="7"/>
      <c r="P22" s="3" t="s">
        <v>19</v>
      </c>
      <c r="Q22" s="8" t="n">
        <f aca="false">N22-Notes!$B$3</f>
        <v>-0.0362</v>
      </c>
    </row>
    <row r="23" customFormat="false" ht="15" hidden="false" customHeight="false" outlineLevel="0" collapsed="false">
      <c r="A23" s="2" t="n">
        <v>22</v>
      </c>
      <c r="B23" s="3" t="s">
        <v>22</v>
      </c>
      <c r="C23" s="3" t="s">
        <v>9</v>
      </c>
      <c r="D23" s="4" t="n">
        <v>50</v>
      </c>
      <c r="E23" s="4" t="n">
        <v>10</v>
      </c>
      <c r="F23" s="4" t="n">
        <v>0.5</v>
      </c>
      <c r="G23" s="5" t="s">
        <v>18</v>
      </c>
      <c r="H23" s="4" t="n">
        <v>10</v>
      </c>
      <c r="I23" s="4" t="n">
        <v>2.5</v>
      </c>
      <c r="J23" s="4" t="n">
        <v>56.5</v>
      </c>
      <c r="K23" s="4" t="n">
        <v>600</v>
      </c>
      <c r="L23" s="4" t="n">
        <v>20</v>
      </c>
      <c r="M23" s="4" t="n">
        <v>3</v>
      </c>
      <c r="N23" s="6" t="n">
        <v>0.4439</v>
      </c>
      <c r="O23" s="7"/>
      <c r="P23" s="3" t="s">
        <v>19</v>
      </c>
      <c r="Q23" s="8" t="n">
        <f aca="false">N23-Notes!$B$3</f>
        <v>-0.0715999999999999</v>
      </c>
    </row>
    <row r="24" customFormat="false" ht="15" hidden="false" customHeight="false" outlineLevel="0" collapsed="false">
      <c r="A24" s="2" t="n">
        <v>23</v>
      </c>
      <c r="B24" s="3" t="s">
        <v>23</v>
      </c>
      <c r="C24" s="3" t="s">
        <v>11</v>
      </c>
      <c r="D24" s="4" t="n">
        <v>50</v>
      </c>
      <c r="E24" s="4" t="n">
        <v>10</v>
      </c>
      <c r="F24" s="4" t="n">
        <v>0.5</v>
      </c>
      <c r="G24" s="5" t="s">
        <v>18</v>
      </c>
      <c r="H24" s="4" t="n">
        <v>10</v>
      </c>
      <c r="I24" s="4" t="n">
        <v>2.5</v>
      </c>
      <c r="J24" s="4" t="n">
        <v>46.5</v>
      </c>
      <c r="K24" s="4" t="n">
        <v>600</v>
      </c>
      <c r="L24" s="4" t="n">
        <v>10</v>
      </c>
      <c r="M24" s="4" t="n">
        <v>3</v>
      </c>
      <c r="N24" s="6" t="n">
        <v>0.4639</v>
      </c>
      <c r="O24" s="7"/>
      <c r="P24" s="3" t="s">
        <v>19</v>
      </c>
      <c r="Q24" s="8" t="n">
        <f aca="false">N24-Notes!$B$3</f>
        <v>-0.0516</v>
      </c>
    </row>
    <row r="25" customFormat="false" ht="15" hidden="false" customHeight="false" outlineLevel="0" collapsed="false">
      <c r="A25" s="2" t="n">
        <v>24</v>
      </c>
      <c r="B25" s="3" t="s">
        <v>23</v>
      </c>
      <c r="C25" s="3" t="s">
        <v>11</v>
      </c>
      <c r="D25" s="4" t="n">
        <v>50</v>
      </c>
      <c r="E25" s="4" t="n">
        <v>10</v>
      </c>
      <c r="F25" s="4" t="n">
        <v>0.5</v>
      </c>
      <c r="G25" s="5" t="s">
        <v>18</v>
      </c>
      <c r="H25" s="4" t="n">
        <v>10</v>
      </c>
      <c r="I25" s="4" t="n">
        <v>2.5</v>
      </c>
      <c r="J25" s="4" t="n">
        <v>46.5</v>
      </c>
      <c r="K25" s="4" t="n">
        <v>600</v>
      </c>
      <c r="L25" s="4" t="n">
        <v>15</v>
      </c>
      <c r="M25" s="4" t="n">
        <v>3</v>
      </c>
      <c r="N25" s="6" t="n">
        <v>0.4939</v>
      </c>
      <c r="O25" s="7"/>
      <c r="P25" s="3" t="s">
        <v>19</v>
      </c>
      <c r="Q25" s="8" t="n">
        <f aca="false">N25-Notes!$B$3</f>
        <v>-0.0216</v>
      </c>
    </row>
    <row r="26" customFormat="false" ht="15" hidden="false" customHeight="false" outlineLevel="0" collapsed="false">
      <c r="A26" s="2" t="n">
        <v>25</v>
      </c>
      <c r="B26" s="3" t="s">
        <v>23</v>
      </c>
      <c r="C26" s="3" t="s">
        <v>11</v>
      </c>
      <c r="D26" s="4" t="n">
        <v>50</v>
      </c>
      <c r="E26" s="4" t="n">
        <v>10</v>
      </c>
      <c r="F26" s="4" t="n">
        <v>0.5</v>
      </c>
      <c r="G26" s="5" t="s">
        <v>18</v>
      </c>
      <c r="H26" s="4" t="n">
        <v>10</v>
      </c>
      <c r="I26" s="4" t="n">
        <v>2.5</v>
      </c>
      <c r="J26" s="4" t="n">
        <v>46.5</v>
      </c>
      <c r="K26" s="4" t="n">
        <v>600</v>
      </c>
      <c r="L26" s="4" t="n">
        <v>20</v>
      </c>
      <c r="M26" s="4" t="n">
        <v>3</v>
      </c>
      <c r="N26" s="6" t="n">
        <v>0.5155</v>
      </c>
      <c r="O26" s="7"/>
      <c r="P26" s="3" t="s">
        <v>19</v>
      </c>
      <c r="Q26" s="8" t="n">
        <f aca="false">N26-Notes!$B$3</f>
        <v>0</v>
      </c>
    </row>
    <row r="27" customFormat="false" ht="15" hidden="false" customHeight="false" outlineLevel="0" collapsed="false">
      <c r="A27" s="2" t="n">
        <v>26</v>
      </c>
      <c r="B27" s="3" t="s">
        <v>23</v>
      </c>
      <c r="C27" s="3" t="s">
        <v>11</v>
      </c>
      <c r="D27" s="4" t="n">
        <v>50</v>
      </c>
      <c r="E27" s="4" t="n">
        <v>10</v>
      </c>
      <c r="F27" s="4" t="n">
        <v>0.5</v>
      </c>
      <c r="G27" s="5" t="s">
        <v>18</v>
      </c>
      <c r="H27" s="4" t="n">
        <v>10</v>
      </c>
      <c r="I27" s="4" t="n">
        <v>2.5</v>
      </c>
      <c r="J27" s="4" t="n">
        <v>46.5</v>
      </c>
      <c r="K27" s="4" t="n">
        <v>600</v>
      </c>
      <c r="L27" s="4" t="n">
        <v>25</v>
      </c>
      <c r="M27" s="4" t="n">
        <v>3</v>
      </c>
      <c r="N27" s="6" t="n">
        <v>0.6061</v>
      </c>
      <c r="O27" s="7"/>
      <c r="P27" s="3" t="s">
        <v>19</v>
      </c>
      <c r="Q27" s="8" t="n">
        <f aca="false">N27-Notes!$B$3</f>
        <v>0.0906</v>
      </c>
    </row>
    <row r="28" customFormat="false" ht="15" hidden="false" customHeight="false" outlineLevel="0" collapsed="false">
      <c r="A28" s="2" t="n">
        <v>27</v>
      </c>
      <c r="B28" s="3" t="s">
        <v>23</v>
      </c>
      <c r="C28" s="3" t="s">
        <v>11</v>
      </c>
      <c r="D28" s="4" t="n">
        <v>50</v>
      </c>
      <c r="E28" s="4" t="n">
        <v>10</v>
      </c>
      <c r="F28" s="4" t="n">
        <v>0.5</v>
      </c>
      <c r="G28" s="5" t="s">
        <v>18</v>
      </c>
      <c r="H28" s="4" t="n">
        <v>10</v>
      </c>
      <c r="I28" s="4" t="n">
        <v>2.5</v>
      </c>
      <c r="J28" s="4" t="n">
        <v>46.5</v>
      </c>
      <c r="K28" s="4" t="n">
        <v>600</v>
      </c>
      <c r="L28" s="4" t="n">
        <v>30</v>
      </c>
      <c r="M28" s="4" t="n">
        <v>3</v>
      </c>
      <c r="N28" s="6" t="n">
        <v>0.642</v>
      </c>
      <c r="O28" s="7"/>
      <c r="P28" s="3" t="s">
        <v>19</v>
      </c>
      <c r="Q28" s="8" t="n">
        <f aca="false">N28-Notes!$B$3</f>
        <v>0.1265</v>
      </c>
    </row>
    <row r="29" customFormat="false" ht="15" hidden="false" customHeight="false" outlineLevel="0" collapsed="false">
      <c r="A29" s="2" t="n">
        <v>28</v>
      </c>
      <c r="B29" s="3" t="s">
        <v>23</v>
      </c>
      <c r="C29" s="3" t="s">
        <v>11</v>
      </c>
      <c r="D29" s="4" t="n">
        <v>50</v>
      </c>
      <c r="E29" s="4" t="n">
        <v>10</v>
      </c>
      <c r="F29" s="4" t="n">
        <v>0.5</v>
      </c>
      <c r="G29" s="5" t="s">
        <v>18</v>
      </c>
      <c r="H29" s="4" t="n">
        <v>10</v>
      </c>
      <c r="I29" s="4" t="n">
        <v>2.5</v>
      </c>
      <c r="J29" s="4" t="n">
        <v>46.5</v>
      </c>
      <c r="K29" s="4" t="n">
        <v>600</v>
      </c>
      <c r="L29" s="4" t="n">
        <v>40</v>
      </c>
      <c r="M29" s="4" t="n">
        <v>3</v>
      </c>
      <c r="N29" s="6" t="n">
        <v>0.6525</v>
      </c>
      <c r="O29" s="7"/>
      <c r="P29" s="3" t="s">
        <v>19</v>
      </c>
      <c r="Q29" s="8" t="n">
        <f aca="false">N29-Notes!$B$3</f>
        <v>0.137</v>
      </c>
    </row>
    <row r="30" customFormat="false" ht="15" hidden="false" customHeight="false" outlineLevel="0" collapsed="false">
      <c r="A30" s="2" t="n">
        <v>29</v>
      </c>
      <c r="B30" s="3" t="s">
        <v>24</v>
      </c>
      <c r="C30" s="3" t="s">
        <v>25</v>
      </c>
      <c r="D30" s="4" t="n">
        <v>50</v>
      </c>
      <c r="E30" s="4" t="n">
        <v>10</v>
      </c>
      <c r="F30" s="4" t="n">
        <v>0.5</v>
      </c>
      <c r="G30" s="5" t="s">
        <v>18</v>
      </c>
      <c r="H30" s="4" t="n">
        <v>10</v>
      </c>
      <c r="I30" s="4" t="n">
        <v>1.5</v>
      </c>
      <c r="J30" s="4" t="n">
        <v>46.5</v>
      </c>
      <c r="K30" s="4" t="n">
        <v>500</v>
      </c>
      <c r="L30" s="4" t="n">
        <v>20</v>
      </c>
      <c r="M30" s="4" t="n">
        <v>3</v>
      </c>
      <c r="N30" s="6" t="n">
        <v>0.3615</v>
      </c>
      <c r="O30" s="7"/>
      <c r="P30" s="3" t="s">
        <v>19</v>
      </c>
      <c r="Q30" s="8" t="n">
        <f aca="false">N30-Notes!$B$3</f>
        <v>-0.154</v>
      </c>
    </row>
    <row r="31" customFormat="false" ht="15" hidden="false" customHeight="false" outlineLevel="0" collapsed="false">
      <c r="A31" s="2" t="n">
        <v>30</v>
      </c>
      <c r="B31" s="3" t="s">
        <v>24</v>
      </c>
      <c r="C31" s="3" t="s">
        <v>25</v>
      </c>
      <c r="D31" s="4" t="n">
        <v>50</v>
      </c>
      <c r="E31" s="4" t="n">
        <v>10</v>
      </c>
      <c r="F31" s="4" t="n">
        <v>0.5</v>
      </c>
      <c r="G31" s="5" t="s">
        <v>18</v>
      </c>
      <c r="H31" s="4" t="n">
        <v>10</v>
      </c>
      <c r="I31" s="4" t="n">
        <v>1.5</v>
      </c>
      <c r="J31" s="4" t="n">
        <v>46.5</v>
      </c>
      <c r="K31" s="4" t="n">
        <v>550</v>
      </c>
      <c r="L31" s="4" t="n">
        <v>20</v>
      </c>
      <c r="M31" s="4" t="n">
        <v>3</v>
      </c>
      <c r="N31" s="6" t="n">
        <v>0.4004</v>
      </c>
      <c r="O31" s="7"/>
      <c r="P31" s="3" t="s">
        <v>19</v>
      </c>
      <c r="Q31" s="8" t="n">
        <f aca="false">N31-Notes!$B$3</f>
        <v>-0.1151</v>
      </c>
    </row>
    <row r="32" customFormat="false" ht="15" hidden="false" customHeight="false" outlineLevel="0" collapsed="false">
      <c r="A32" s="2" t="n">
        <v>31</v>
      </c>
      <c r="B32" s="3" t="s">
        <v>24</v>
      </c>
      <c r="C32" s="3" t="s">
        <v>25</v>
      </c>
      <c r="D32" s="4" t="n">
        <v>50</v>
      </c>
      <c r="E32" s="4" t="n">
        <v>10</v>
      </c>
      <c r="F32" s="4" t="n">
        <v>0.5</v>
      </c>
      <c r="G32" s="5" t="s">
        <v>18</v>
      </c>
      <c r="H32" s="4" t="n">
        <v>10</v>
      </c>
      <c r="I32" s="4" t="n">
        <v>1.5</v>
      </c>
      <c r="J32" s="4" t="n">
        <v>46.5</v>
      </c>
      <c r="K32" s="4" t="n">
        <v>600</v>
      </c>
      <c r="L32" s="4" t="n">
        <v>20</v>
      </c>
      <c r="M32" s="4" t="n">
        <v>3</v>
      </c>
      <c r="N32" s="6" t="n">
        <v>0.4613</v>
      </c>
      <c r="O32" s="7"/>
      <c r="P32" s="3" t="s">
        <v>19</v>
      </c>
      <c r="Q32" s="8" t="n">
        <f aca="false">N32-Notes!$B$3</f>
        <v>-0.0542</v>
      </c>
    </row>
    <row r="33" customFormat="false" ht="15" hidden="false" customHeight="false" outlineLevel="0" collapsed="false">
      <c r="A33" s="2" t="n">
        <v>32</v>
      </c>
      <c r="B33" s="3" t="s">
        <v>24</v>
      </c>
      <c r="C33" s="3" t="s">
        <v>25</v>
      </c>
      <c r="D33" s="4" t="n">
        <v>50</v>
      </c>
      <c r="E33" s="4" t="n">
        <v>10</v>
      </c>
      <c r="F33" s="4" t="n">
        <v>0.5</v>
      </c>
      <c r="G33" s="5" t="s">
        <v>18</v>
      </c>
      <c r="H33" s="4" t="n">
        <v>10</v>
      </c>
      <c r="I33" s="4" t="n">
        <v>1.5</v>
      </c>
      <c r="J33" s="4" t="n">
        <v>46.5</v>
      </c>
      <c r="K33" s="4" t="n">
        <v>650</v>
      </c>
      <c r="L33" s="4" t="n">
        <v>20</v>
      </c>
      <c r="M33" s="4" t="n">
        <v>3</v>
      </c>
      <c r="N33" s="6" t="n">
        <v>0.5112</v>
      </c>
      <c r="O33" s="7"/>
      <c r="P33" s="3" t="s">
        <v>19</v>
      </c>
      <c r="Q33" s="8" t="n">
        <f aca="false">N33-Notes!$B$3</f>
        <v>-0.00429999999999997</v>
      </c>
    </row>
    <row r="34" customFormat="false" ht="15" hidden="false" customHeight="false" outlineLevel="0" collapsed="false">
      <c r="A34" s="2" t="n">
        <v>33</v>
      </c>
      <c r="B34" s="3" t="s">
        <v>24</v>
      </c>
      <c r="C34" s="3" t="s">
        <v>25</v>
      </c>
      <c r="D34" s="4" t="n">
        <v>50</v>
      </c>
      <c r="E34" s="4" t="n">
        <v>10</v>
      </c>
      <c r="F34" s="4" t="n">
        <v>0.5</v>
      </c>
      <c r="G34" s="5" t="s">
        <v>18</v>
      </c>
      <c r="H34" s="4" t="n">
        <v>10</v>
      </c>
      <c r="I34" s="4" t="n">
        <v>1.5</v>
      </c>
      <c r="J34" s="4" t="n">
        <v>46.5</v>
      </c>
      <c r="K34" s="4" t="n">
        <v>700</v>
      </c>
      <c r="L34" s="4" t="n">
        <v>20</v>
      </c>
      <c r="M34" s="4" t="n">
        <v>3</v>
      </c>
      <c r="N34" s="6" t="n">
        <v>0.5278</v>
      </c>
      <c r="O34" s="7"/>
      <c r="P34" s="3" t="s">
        <v>19</v>
      </c>
      <c r="Q34" s="8" t="n">
        <f aca="false">N34-Notes!$B$3</f>
        <v>0.0123000000000001</v>
      </c>
    </row>
    <row r="35" customFormat="false" ht="15" hidden="false" customHeight="false" outlineLevel="0" collapsed="false">
      <c r="A35" s="2" t="n">
        <v>34</v>
      </c>
      <c r="B35" s="3" t="s">
        <v>24</v>
      </c>
      <c r="C35" s="3" t="s">
        <v>25</v>
      </c>
      <c r="D35" s="4" t="n">
        <v>50</v>
      </c>
      <c r="E35" s="4" t="n">
        <v>10</v>
      </c>
      <c r="F35" s="4" t="n">
        <v>0.5</v>
      </c>
      <c r="G35" s="5" t="s">
        <v>18</v>
      </c>
      <c r="H35" s="4" t="n">
        <v>10</v>
      </c>
      <c r="I35" s="4" t="n">
        <v>2.5</v>
      </c>
      <c r="J35" s="4" t="n">
        <v>46.5</v>
      </c>
      <c r="K35" s="4" t="n">
        <v>500</v>
      </c>
      <c r="L35" s="4" t="n">
        <v>20</v>
      </c>
      <c r="M35" s="4" t="n">
        <v>3</v>
      </c>
      <c r="N35" s="6" t="n">
        <v>0.4305</v>
      </c>
      <c r="O35" s="7"/>
      <c r="P35" s="3" t="s">
        <v>19</v>
      </c>
      <c r="Q35" s="8" t="n">
        <f aca="false">N35-Notes!$B$3</f>
        <v>-0.085</v>
      </c>
    </row>
    <row r="36" customFormat="false" ht="15" hidden="false" customHeight="false" outlineLevel="0" collapsed="false">
      <c r="A36" s="2" t="n">
        <v>35</v>
      </c>
      <c r="B36" s="3" t="s">
        <v>24</v>
      </c>
      <c r="C36" s="3" t="s">
        <v>25</v>
      </c>
      <c r="D36" s="4" t="n">
        <v>50</v>
      </c>
      <c r="E36" s="4" t="n">
        <v>10</v>
      </c>
      <c r="F36" s="4" t="n">
        <v>0.5</v>
      </c>
      <c r="G36" s="5" t="s">
        <v>18</v>
      </c>
      <c r="H36" s="4" t="n">
        <v>10</v>
      </c>
      <c r="I36" s="4" t="n">
        <v>2.5</v>
      </c>
      <c r="J36" s="4" t="n">
        <v>46.5</v>
      </c>
      <c r="K36" s="4" t="n">
        <v>550</v>
      </c>
      <c r="L36" s="4" t="n">
        <v>20</v>
      </c>
      <c r="M36" s="4" t="n">
        <v>3</v>
      </c>
      <c r="N36" s="6" t="n">
        <v>0.4796</v>
      </c>
      <c r="O36" s="7"/>
      <c r="P36" s="3" t="s">
        <v>19</v>
      </c>
      <c r="Q36" s="8" t="n">
        <f aca="false">N36-Notes!$B$3</f>
        <v>-0.0358999999999999</v>
      </c>
    </row>
    <row r="37" customFormat="false" ht="15" hidden="false" customHeight="false" outlineLevel="0" collapsed="false">
      <c r="A37" s="2" t="n">
        <v>36</v>
      </c>
      <c r="B37" s="3" t="s">
        <v>24</v>
      </c>
      <c r="C37" s="3" t="s">
        <v>25</v>
      </c>
      <c r="D37" s="4" t="n">
        <v>50</v>
      </c>
      <c r="E37" s="4" t="n">
        <v>10</v>
      </c>
      <c r="F37" s="4" t="n">
        <v>0.5</v>
      </c>
      <c r="G37" s="5" t="s">
        <v>18</v>
      </c>
      <c r="H37" s="4" t="n">
        <v>10</v>
      </c>
      <c r="I37" s="4" t="n">
        <v>2.5</v>
      </c>
      <c r="J37" s="4" t="n">
        <v>46.5</v>
      </c>
      <c r="K37" s="4" t="n">
        <v>600</v>
      </c>
      <c r="L37" s="4" t="n">
        <v>20</v>
      </c>
      <c r="M37" s="4" t="n">
        <v>3</v>
      </c>
      <c r="N37" s="6" t="n">
        <v>0.5155</v>
      </c>
      <c r="O37" s="7"/>
      <c r="P37" s="3" t="s">
        <v>19</v>
      </c>
      <c r="Q37" s="8" t="n">
        <f aca="false">N37-Notes!$B$3</f>
        <v>0</v>
      </c>
    </row>
    <row r="38" customFormat="false" ht="15" hidden="false" customHeight="false" outlineLevel="0" collapsed="false">
      <c r="A38" s="2" t="n">
        <v>37</v>
      </c>
      <c r="B38" s="3" t="s">
        <v>24</v>
      </c>
      <c r="C38" s="3" t="s">
        <v>25</v>
      </c>
      <c r="D38" s="4" t="n">
        <v>50</v>
      </c>
      <c r="E38" s="4" t="n">
        <v>10</v>
      </c>
      <c r="F38" s="4" t="n">
        <v>0.5</v>
      </c>
      <c r="G38" s="5" t="s">
        <v>18</v>
      </c>
      <c r="H38" s="4" t="n">
        <v>10</v>
      </c>
      <c r="I38" s="4" t="n">
        <v>2.5</v>
      </c>
      <c r="J38" s="4" t="n">
        <v>46.5</v>
      </c>
      <c r="K38" s="4" t="n">
        <v>650</v>
      </c>
      <c r="L38" s="4" t="n">
        <v>20</v>
      </c>
      <c r="M38" s="4" t="n">
        <v>3</v>
      </c>
      <c r="N38" s="6" t="n">
        <v>0.5589</v>
      </c>
      <c r="O38" s="7"/>
      <c r="P38" s="3" t="s">
        <v>19</v>
      </c>
      <c r="Q38" s="8" t="n">
        <f aca="false">N38-Notes!$B$3</f>
        <v>0.0434</v>
      </c>
    </row>
    <row r="39" customFormat="false" ht="15" hidden="false" customHeight="false" outlineLevel="0" collapsed="false">
      <c r="A39" s="2" t="n">
        <v>38</v>
      </c>
      <c r="B39" s="3" t="s">
        <v>24</v>
      </c>
      <c r="C39" s="3" t="s">
        <v>25</v>
      </c>
      <c r="D39" s="4" t="n">
        <v>50</v>
      </c>
      <c r="E39" s="4" t="n">
        <v>10</v>
      </c>
      <c r="F39" s="4" t="n">
        <v>0.5</v>
      </c>
      <c r="G39" s="5" t="s">
        <v>18</v>
      </c>
      <c r="H39" s="4" t="n">
        <v>10</v>
      </c>
      <c r="I39" s="4" t="n">
        <v>2.5</v>
      </c>
      <c r="J39" s="4" t="n">
        <v>46.5</v>
      </c>
      <c r="K39" s="4" t="n">
        <v>700</v>
      </c>
      <c r="L39" s="4" t="n">
        <v>20</v>
      </c>
      <c r="M39" s="4" t="n">
        <v>3</v>
      </c>
      <c r="N39" s="6" t="n">
        <v>0.5735</v>
      </c>
      <c r="O39" s="7"/>
      <c r="P39" s="3" t="s">
        <v>19</v>
      </c>
      <c r="Q39" s="8" t="n">
        <f aca="false">N39-Notes!$B$3</f>
        <v>0.0580000000000001</v>
      </c>
    </row>
    <row r="40" customFormat="false" ht="15" hidden="false" customHeight="false" outlineLevel="0" collapsed="false">
      <c r="A40" s="2" t="n">
        <v>39</v>
      </c>
      <c r="B40" s="3" t="s">
        <v>24</v>
      </c>
      <c r="C40" s="3" t="s">
        <v>25</v>
      </c>
      <c r="D40" s="4" t="n">
        <v>50</v>
      </c>
      <c r="E40" s="4" t="n">
        <v>10</v>
      </c>
      <c r="F40" s="4" t="n">
        <v>0.5</v>
      </c>
      <c r="G40" s="5" t="s">
        <v>18</v>
      </c>
      <c r="H40" s="4" t="n">
        <v>10</v>
      </c>
      <c r="I40" s="4" t="n">
        <v>3</v>
      </c>
      <c r="J40" s="4" t="n">
        <v>46.5</v>
      </c>
      <c r="K40" s="4" t="n">
        <v>500</v>
      </c>
      <c r="L40" s="4" t="n">
        <v>20</v>
      </c>
      <c r="M40" s="4" t="n">
        <v>3</v>
      </c>
      <c r="N40" s="6" t="n">
        <v>0.5963</v>
      </c>
      <c r="O40" s="7"/>
      <c r="P40" s="3" t="s">
        <v>19</v>
      </c>
      <c r="Q40" s="8" t="n">
        <f aca="false">N40-Notes!$B$3</f>
        <v>0.0808000000000001</v>
      </c>
    </row>
    <row r="41" customFormat="false" ht="15" hidden="false" customHeight="false" outlineLevel="0" collapsed="false">
      <c r="A41" s="2" t="n">
        <v>40</v>
      </c>
      <c r="B41" s="3" t="s">
        <v>24</v>
      </c>
      <c r="C41" s="3" t="s">
        <v>25</v>
      </c>
      <c r="D41" s="4" t="n">
        <v>50</v>
      </c>
      <c r="E41" s="4" t="n">
        <v>10</v>
      </c>
      <c r="F41" s="4" t="n">
        <v>0.5</v>
      </c>
      <c r="G41" s="5" t="s">
        <v>18</v>
      </c>
      <c r="H41" s="4" t="n">
        <v>10</v>
      </c>
      <c r="I41" s="4" t="n">
        <v>3</v>
      </c>
      <c r="J41" s="4" t="n">
        <v>46.5</v>
      </c>
      <c r="K41" s="4" t="n">
        <v>550</v>
      </c>
      <c r="L41" s="4" t="n">
        <v>20</v>
      </c>
      <c r="M41" s="4" t="n">
        <v>3</v>
      </c>
      <c r="N41" s="6" t="n">
        <v>0.6386</v>
      </c>
      <c r="O41" s="7"/>
      <c r="P41" s="3" t="s">
        <v>19</v>
      </c>
      <c r="Q41" s="8" t="n">
        <f aca="false">N41-Notes!$B$3</f>
        <v>0.1231</v>
      </c>
    </row>
    <row r="42" customFormat="false" ht="15" hidden="false" customHeight="false" outlineLevel="0" collapsed="false">
      <c r="A42" s="2" t="n">
        <v>41</v>
      </c>
      <c r="B42" s="3" t="s">
        <v>24</v>
      </c>
      <c r="C42" s="3" t="s">
        <v>25</v>
      </c>
      <c r="D42" s="4" t="n">
        <v>50</v>
      </c>
      <c r="E42" s="4" t="n">
        <v>10</v>
      </c>
      <c r="F42" s="4" t="n">
        <v>0.5</v>
      </c>
      <c r="G42" s="5" t="s">
        <v>18</v>
      </c>
      <c r="H42" s="4" t="n">
        <v>10</v>
      </c>
      <c r="I42" s="4" t="n">
        <v>3</v>
      </c>
      <c r="J42" s="4" t="n">
        <v>46.5</v>
      </c>
      <c r="K42" s="4" t="n">
        <v>600</v>
      </c>
      <c r="L42" s="4" t="n">
        <v>20</v>
      </c>
      <c r="M42" s="4" t="n">
        <v>3</v>
      </c>
      <c r="N42" s="6" t="n">
        <v>0.6305</v>
      </c>
      <c r="O42" s="7"/>
      <c r="P42" s="3" t="s">
        <v>19</v>
      </c>
      <c r="Q42" s="8" t="n">
        <f aca="false">N42-Notes!$B$3</f>
        <v>0.115</v>
      </c>
    </row>
    <row r="43" customFormat="false" ht="15" hidden="false" customHeight="false" outlineLevel="0" collapsed="false">
      <c r="A43" s="2" t="n">
        <v>42</v>
      </c>
      <c r="B43" s="3" t="s">
        <v>24</v>
      </c>
      <c r="C43" s="3" t="s">
        <v>25</v>
      </c>
      <c r="D43" s="4" t="n">
        <v>50</v>
      </c>
      <c r="E43" s="4" t="n">
        <v>10</v>
      </c>
      <c r="F43" s="4" t="n">
        <v>0.5</v>
      </c>
      <c r="G43" s="5" t="s">
        <v>18</v>
      </c>
      <c r="H43" s="4" t="n">
        <v>10</v>
      </c>
      <c r="I43" s="4" t="n">
        <v>3</v>
      </c>
      <c r="J43" s="4" t="n">
        <v>46.5</v>
      </c>
      <c r="K43" s="4" t="n">
        <v>650</v>
      </c>
      <c r="L43" s="4" t="n">
        <v>20</v>
      </c>
      <c r="M43" s="4" t="n">
        <v>3</v>
      </c>
      <c r="N43" s="6" t="n">
        <v>0.6501</v>
      </c>
      <c r="O43" s="7"/>
      <c r="P43" s="3" t="s">
        <v>19</v>
      </c>
      <c r="Q43" s="8" t="n">
        <f aca="false">N43-Notes!$B$3</f>
        <v>0.1346</v>
      </c>
    </row>
    <row r="44" customFormat="false" ht="15" hidden="false" customHeight="false" outlineLevel="0" collapsed="false">
      <c r="A44" s="2" t="n">
        <v>43</v>
      </c>
      <c r="B44" s="3" t="s">
        <v>24</v>
      </c>
      <c r="C44" s="3" t="s">
        <v>25</v>
      </c>
      <c r="D44" s="4" t="n">
        <v>50</v>
      </c>
      <c r="E44" s="4" t="n">
        <v>10</v>
      </c>
      <c r="F44" s="4" t="n">
        <v>0.5</v>
      </c>
      <c r="G44" s="5" t="s">
        <v>18</v>
      </c>
      <c r="H44" s="4" t="n">
        <v>10</v>
      </c>
      <c r="I44" s="4" t="n">
        <v>3</v>
      </c>
      <c r="J44" s="4" t="n">
        <v>46.5</v>
      </c>
      <c r="K44" s="4" t="n">
        <v>700</v>
      </c>
      <c r="L44" s="4" t="n">
        <v>20</v>
      </c>
      <c r="M44" s="4" t="n">
        <v>3</v>
      </c>
      <c r="N44" s="6" t="n">
        <v>0.6597</v>
      </c>
      <c r="O44" s="7"/>
      <c r="P44" s="3" t="s">
        <v>19</v>
      </c>
      <c r="Q44" s="8" t="n">
        <f aca="false">N44-Notes!$B$3</f>
        <v>0.1442</v>
      </c>
    </row>
    <row r="45" customFormat="false" ht="15" hidden="false" customHeight="false" outlineLevel="0" collapsed="false">
      <c r="A45" s="2" t="n">
        <v>44</v>
      </c>
      <c r="B45" s="3" t="s">
        <v>26</v>
      </c>
      <c r="C45" s="3" t="s">
        <v>6</v>
      </c>
      <c r="D45" s="4" t="n">
        <v>50</v>
      </c>
      <c r="E45" s="4" t="n">
        <v>10</v>
      </c>
      <c r="F45" s="4" t="n">
        <v>0.5</v>
      </c>
      <c r="G45" s="5" t="s">
        <v>18</v>
      </c>
      <c r="H45" s="4" t="n">
        <v>10</v>
      </c>
      <c r="I45" s="4" t="n">
        <v>2.5</v>
      </c>
      <c r="J45" s="4" t="n">
        <v>46.5</v>
      </c>
      <c r="K45" s="4" t="n">
        <v>600</v>
      </c>
      <c r="L45" s="4" t="n">
        <v>20</v>
      </c>
      <c r="M45" s="4" t="n">
        <v>3</v>
      </c>
      <c r="N45" s="6" t="n">
        <v>0.5155</v>
      </c>
      <c r="O45" s="7"/>
      <c r="P45" s="3" t="s">
        <v>19</v>
      </c>
      <c r="Q45" s="8" t="n">
        <f aca="false">N45-Notes!$B$3</f>
        <v>0</v>
      </c>
    </row>
    <row r="46" customFormat="false" ht="15" hidden="false" customHeight="false" outlineLevel="0" collapsed="false">
      <c r="A46" s="2" t="n">
        <v>45</v>
      </c>
      <c r="B46" s="3" t="s">
        <v>26</v>
      </c>
      <c r="C46" s="3" t="s">
        <v>6</v>
      </c>
      <c r="D46" s="4" t="n">
        <v>50</v>
      </c>
      <c r="E46" s="4" t="n">
        <v>10</v>
      </c>
      <c r="F46" s="4" t="n">
        <v>0.5</v>
      </c>
      <c r="G46" s="5" t="s">
        <v>27</v>
      </c>
      <c r="H46" s="4" t="n">
        <v>10</v>
      </c>
      <c r="I46" s="4" t="n">
        <v>2.5</v>
      </c>
      <c r="J46" s="4" t="n">
        <v>46.5</v>
      </c>
      <c r="K46" s="4" t="n">
        <v>600</v>
      </c>
      <c r="L46" s="4" t="n">
        <v>20</v>
      </c>
      <c r="M46" s="4" t="n">
        <v>3</v>
      </c>
      <c r="N46" s="6" t="n">
        <v>0.5112</v>
      </c>
      <c r="O46" s="7"/>
      <c r="P46" s="3" t="s">
        <v>19</v>
      </c>
      <c r="Q46" s="8" t="n">
        <f aca="false">N46-Notes!$B$3</f>
        <v>-0.00429999999999997</v>
      </c>
    </row>
    <row r="47" customFormat="false" ht="15" hidden="false" customHeight="false" outlineLevel="0" collapsed="false">
      <c r="A47" s="2" t="n">
        <v>46</v>
      </c>
      <c r="B47" s="3" t="s">
        <v>26</v>
      </c>
      <c r="C47" s="3" t="s">
        <v>6</v>
      </c>
      <c r="D47" s="4" t="n">
        <v>50</v>
      </c>
      <c r="E47" s="4" t="n">
        <v>10</v>
      </c>
      <c r="F47" s="4" t="n">
        <v>0.5</v>
      </c>
      <c r="G47" s="5" t="s">
        <v>28</v>
      </c>
      <c r="H47" s="4" t="n">
        <v>10</v>
      </c>
      <c r="I47" s="4" t="n">
        <v>2.5</v>
      </c>
      <c r="J47" s="4" t="n">
        <v>46.5</v>
      </c>
      <c r="K47" s="4" t="n">
        <v>600</v>
      </c>
      <c r="L47" s="4" t="n">
        <v>20</v>
      </c>
      <c r="M47" s="4" t="n">
        <v>3</v>
      </c>
      <c r="N47" s="6" t="n">
        <v>0.504</v>
      </c>
      <c r="O47" s="7"/>
      <c r="P47" s="3" t="s">
        <v>19</v>
      </c>
      <c r="Q47" s="8" t="n">
        <f aca="false">N47-Notes!$B$3</f>
        <v>-0.0115</v>
      </c>
    </row>
    <row r="48" customFormat="false" ht="15" hidden="false" customHeight="false" outlineLevel="0" collapsed="false">
      <c r="A48" s="2" t="n">
        <v>47</v>
      </c>
      <c r="B48" s="3" t="s">
        <v>26</v>
      </c>
      <c r="C48" s="3" t="s">
        <v>6</v>
      </c>
      <c r="D48" s="4" t="n">
        <v>50</v>
      </c>
      <c r="E48" s="4" t="n">
        <v>10</v>
      </c>
      <c r="F48" s="4" t="n">
        <v>0.5</v>
      </c>
      <c r="G48" s="5" t="s">
        <v>29</v>
      </c>
      <c r="H48" s="4" t="n">
        <v>10</v>
      </c>
      <c r="I48" s="4" t="n">
        <v>2.5</v>
      </c>
      <c r="J48" s="4" t="n">
        <v>46.5</v>
      </c>
      <c r="K48" s="4" t="n">
        <v>600</v>
      </c>
      <c r="L48" s="4" t="n">
        <v>20</v>
      </c>
      <c r="M48" s="4" t="n">
        <v>3</v>
      </c>
      <c r="N48" s="6" t="n">
        <v>0.5072</v>
      </c>
      <c r="O48" s="7"/>
      <c r="P48" s="3" t="s">
        <v>19</v>
      </c>
      <c r="Q48" s="8" t="n">
        <f aca="false">N48-Notes!$B$3</f>
        <v>-0.00829999999999997</v>
      </c>
    </row>
    <row r="49" customFormat="false" ht="15" hidden="false" customHeight="false" outlineLevel="0" collapsed="false">
      <c r="A49" s="2" t="n">
        <v>48</v>
      </c>
      <c r="B49" s="3" t="s">
        <v>30</v>
      </c>
      <c r="C49" s="3" t="s">
        <v>10</v>
      </c>
      <c r="D49" s="4" t="n">
        <v>50</v>
      </c>
      <c r="E49" s="4" t="n">
        <v>10</v>
      </c>
      <c r="F49" s="4" t="n">
        <v>0.5</v>
      </c>
      <c r="G49" s="5" t="s">
        <v>18</v>
      </c>
      <c r="H49" s="4" t="n">
        <v>10</v>
      </c>
      <c r="I49" s="4" t="n">
        <v>2.5</v>
      </c>
      <c r="J49" s="4" t="n">
        <v>46.5</v>
      </c>
      <c r="K49" s="4" t="n">
        <v>550</v>
      </c>
      <c r="L49" s="4" t="n">
        <v>20</v>
      </c>
      <c r="M49" s="4" t="n">
        <v>3</v>
      </c>
      <c r="N49" s="6" t="n">
        <v>0.4796</v>
      </c>
      <c r="O49" s="7" t="s">
        <v>31</v>
      </c>
      <c r="P49" s="3" t="s">
        <v>19</v>
      </c>
      <c r="Q49" s="8" t="n">
        <f aca="false">N49-Notes!$B$3</f>
        <v>-0.0358999999999999</v>
      </c>
    </row>
    <row r="50" customFormat="false" ht="15" hidden="false" customHeight="false" outlineLevel="0" collapsed="false">
      <c r="A50" s="2" t="n">
        <v>49</v>
      </c>
      <c r="B50" s="3" t="s">
        <v>30</v>
      </c>
      <c r="C50" s="3" t="s">
        <v>10</v>
      </c>
      <c r="D50" s="4" t="n">
        <v>50</v>
      </c>
      <c r="E50" s="4" t="n">
        <v>10</v>
      </c>
      <c r="F50" s="4" t="n">
        <v>0.5</v>
      </c>
      <c r="G50" s="5" t="s">
        <v>18</v>
      </c>
      <c r="H50" s="4" t="n">
        <v>10</v>
      </c>
      <c r="I50" s="4" t="n">
        <v>2.5</v>
      </c>
      <c r="J50" s="4" t="n">
        <v>46.5</v>
      </c>
      <c r="K50" s="4" t="n">
        <v>560</v>
      </c>
      <c r="L50" s="4" t="n">
        <v>20</v>
      </c>
      <c r="M50" s="4" t="n">
        <v>3</v>
      </c>
      <c r="N50" s="6" t="n">
        <v>0.4824</v>
      </c>
      <c r="O50" s="7" t="s">
        <v>31</v>
      </c>
      <c r="P50" s="3" t="s">
        <v>19</v>
      </c>
      <c r="Q50" s="8" t="n">
        <f aca="false">N50-Notes!$B$3</f>
        <v>-0.0331</v>
      </c>
    </row>
    <row r="51" customFormat="false" ht="15" hidden="false" customHeight="false" outlineLevel="0" collapsed="false">
      <c r="A51" s="2" t="n">
        <v>50</v>
      </c>
      <c r="B51" s="3" t="s">
        <v>30</v>
      </c>
      <c r="C51" s="3" t="s">
        <v>10</v>
      </c>
      <c r="D51" s="4" t="n">
        <v>50</v>
      </c>
      <c r="E51" s="4" t="n">
        <v>10</v>
      </c>
      <c r="F51" s="4" t="n">
        <v>0.5</v>
      </c>
      <c r="G51" s="5" t="s">
        <v>18</v>
      </c>
      <c r="H51" s="4" t="n">
        <v>10</v>
      </c>
      <c r="I51" s="4" t="n">
        <v>2.5</v>
      </c>
      <c r="J51" s="4" t="n">
        <v>46.5</v>
      </c>
      <c r="K51" s="4" t="n">
        <v>570</v>
      </c>
      <c r="L51" s="4" t="n">
        <v>20</v>
      </c>
      <c r="M51" s="4" t="n">
        <v>3</v>
      </c>
      <c r="N51" s="6" t="n">
        <v>0.4937</v>
      </c>
      <c r="O51" s="9" t="s">
        <v>32</v>
      </c>
      <c r="P51" s="3" t="s">
        <v>19</v>
      </c>
      <c r="Q51" s="8" t="n">
        <f aca="false">N51-Notes!$B$3</f>
        <v>-0.0217999999999999</v>
      </c>
    </row>
    <row r="52" customFormat="false" ht="15" hidden="false" customHeight="false" outlineLevel="0" collapsed="false">
      <c r="A52" s="2" t="n">
        <v>51</v>
      </c>
      <c r="B52" s="3" t="s">
        <v>30</v>
      </c>
      <c r="C52" s="3" t="s">
        <v>10</v>
      </c>
      <c r="D52" s="4" t="n">
        <v>50</v>
      </c>
      <c r="E52" s="4" t="n">
        <v>10</v>
      </c>
      <c r="F52" s="4" t="n">
        <v>0.5</v>
      </c>
      <c r="G52" s="5" t="s">
        <v>18</v>
      </c>
      <c r="H52" s="4" t="n">
        <v>10</v>
      </c>
      <c r="I52" s="4" t="n">
        <v>2.5</v>
      </c>
      <c r="J52" s="4" t="n">
        <v>46.5</v>
      </c>
      <c r="K52" s="4" t="n">
        <v>580</v>
      </c>
      <c r="L52" s="4" t="n">
        <v>20</v>
      </c>
      <c r="M52" s="4" t="n">
        <v>3</v>
      </c>
      <c r="N52" s="6" t="n">
        <v>0.4973</v>
      </c>
      <c r="O52" s="9" t="s">
        <v>32</v>
      </c>
      <c r="P52" s="3" t="s">
        <v>19</v>
      </c>
      <c r="Q52" s="8" t="n">
        <f aca="false">N52-Notes!$B$3</f>
        <v>-0.0181999999999999</v>
      </c>
    </row>
    <row r="53" customFormat="false" ht="15" hidden="false" customHeight="false" outlineLevel="0" collapsed="false">
      <c r="A53" s="2" t="n">
        <v>52</v>
      </c>
      <c r="B53" s="3" t="s">
        <v>30</v>
      </c>
      <c r="C53" s="3" t="s">
        <v>10</v>
      </c>
      <c r="D53" s="4" t="n">
        <v>50</v>
      </c>
      <c r="E53" s="4" t="n">
        <v>10</v>
      </c>
      <c r="F53" s="4" t="n">
        <v>0.5</v>
      </c>
      <c r="G53" s="5" t="s">
        <v>18</v>
      </c>
      <c r="H53" s="4" t="n">
        <v>10</v>
      </c>
      <c r="I53" s="4" t="n">
        <v>2.5</v>
      </c>
      <c r="J53" s="4" t="n">
        <v>46.5</v>
      </c>
      <c r="K53" s="4" t="n">
        <v>600</v>
      </c>
      <c r="L53" s="4" t="n">
        <v>20</v>
      </c>
      <c r="M53" s="4" t="n">
        <v>3</v>
      </c>
      <c r="N53" s="6" t="n">
        <v>0.5155</v>
      </c>
      <c r="O53" s="9" t="s">
        <v>32</v>
      </c>
      <c r="P53" s="3" t="s">
        <v>19</v>
      </c>
      <c r="Q53" s="8" t="n">
        <f aca="false">N53-Notes!$B$3</f>
        <v>0</v>
      </c>
    </row>
    <row r="54" customFormat="false" ht="15" hidden="false" customHeight="false" outlineLevel="0" collapsed="false">
      <c r="A54" s="2" t="n">
        <v>53</v>
      </c>
      <c r="B54" s="3" t="s">
        <v>33</v>
      </c>
      <c r="C54" s="3" t="s">
        <v>9</v>
      </c>
      <c r="D54" s="4" t="n">
        <v>67</v>
      </c>
      <c r="E54" s="4" t="n">
        <v>9.8</v>
      </c>
      <c r="F54" s="4" t="n">
        <v>0.97</v>
      </c>
      <c r="G54" s="5" t="s">
        <v>28</v>
      </c>
      <c r="H54" s="4" t="n">
        <v>9.8</v>
      </c>
      <c r="I54" s="4" t="n">
        <v>4.44</v>
      </c>
      <c r="J54" s="4" t="n">
        <v>27.5</v>
      </c>
      <c r="K54" s="4" t="n">
        <v>880</v>
      </c>
      <c r="L54" s="4" t="n">
        <v>30</v>
      </c>
      <c r="M54" s="4" t="n">
        <v>4.8</v>
      </c>
      <c r="N54" s="6" t="n">
        <v>0.043</v>
      </c>
      <c r="O54" s="7"/>
      <c r="P54" s="3" t="s">
        <v>34</v>
      </c>
      <c r="Q54" s="8" t="n">
        <f aca="false">N54-N54</f>
        <v>0</v>
      </c>
    </row>
    <row r="55" customFormat="false" ht="15" hidden="false" customHeight="false" outlineLevel="0" collapsed="false">
      <c r="A55" s="2" t="n">
        <v>54</v>
      </c>
      <c r="B55" s="3" t="s">
        <v>33</v>
      </c>
      <c r="C55" s="3" t="s">
        <v>9</v>
      </c>
      <c r="D55" s="4" t="n">
        <v>67</v>
      </c>
      <c r="E55" s="4" t="n">
        <v>9.8</v>
      </c>
      <c r="F55" s="4" t="n">
        <v>0.97</v>
      </c>
      <c r="G55" s="5" t="s">
        <v>28</v>
      </c>
      <c r="H55" s="4" t="n">
        <v>9.8</v>
      </c>
      <c r="I55" s="4" t="n">
        <v>4.44</v>
      </c>
      <c r="J55" s="4" t="n">
        <v>46.5</v>
      </c>
      <c r="K55" s="4" t="n">
        <v>880</v>
      </c>
      <c r="L55" s="4" t="n">
        <v>30</v>
      </c>
      <c r="M55" s="4" t="n">
        <v>4.8</v>
      </c>
      <c r="N55" s="6" t="n">
        <v>0.9392</v>
      </c>
      <c r="O55" s="7"/>
      <c r="P55" s="3" t="s">
        <v>34</v>
      </c>
      <c r="Q55" s="8" t="n">
        <f aca="false">N55-N54</f>
        <v>0.8962</v>
      </c>
    </row>
    <row r="56" customFormat="false" ht="15" hidden="false" customHeight="false" outlineLevel="0" collapsed="false">
      <c r="A56" s="2" t="n">
        <v>55</v>
      </c>
      <c r="B56" s="3" t="s">
        <v>35</v>
      </c>
      <c r="C56" s="3" t="s">
        <v>8</v>
      </c>
      <c r="D56" s="4" t="n">
        <v>65</v>
      </c>
      <c r="E56" s="4" t="n">
        <v>9.75</v>
      </c>
      <c r="F56" s="4" t="n">
        <v>0.9</v>
      </c>
      <c r="G56" s="5" t="s">
        <v>29</v>
      </c>
      <c r="H56" s="4" t="n">
        <v>9.7</v>
      </c>
      <c r="I56" s="4" t="n">
        <v>4.46</v>
      </c>
      <c r="J56" s="4" t="n">
        <v>27.55</v>
      </c>
      <c r="K56" s="4" t="n">
        <v>895</v>
      </c>
      <c r="L56" s="4" t="n">
        <v>30.7</v>
      </c>
      <c r="M56" s="4" t="n">
        <v>4.85</v>
      </c>
      <c r="N56" s="6" t="n">
        <v>0.9807</v>
      </c>
      <c r="O56" s="7"/>
      <c r="P56" s="3" t="s">
        <v>34</v>
      </c>
      <c r="Q56" s="8" t="n">
        <f aca="false">N56-N56</f>
        <v>0</v>
      </c>
    </row>
    <row r="57" customFormat="false" ht="15" hidden="false" customHeight="false" outlineLevel="0" collapsed="false">
      <c r="A57" s="2" t="n">
        <v>56</v>
      </c>
      <c r="B57" s="3" t="s">
        <v>35</v>
      </c>
      <c r="C57" s="3" t="s">
        <v>8</v>
      </c>
      <c r="D57" s="4" t="n">
        <v>65</v>
      </c>
      <c r="E57" s="4" t="n">
        <v>9.75</v>
      </c>
      <c r="F57" s="4" t="n">
        <v>0.9</v>
      </c>
      <c r="G57" s="5" t="s">
        <v>29</v>
      </c>
      <c r="H57" s="4" t="n">
        <v>9.7</v>
      </c>
      <c r="I57" s="4" t="n">
        <v>5</v>
      </c>
      <c r="J57" s="4" t="n">
        <v>27.55</v>
      </c>
      <c r="K57" s="4" t="n">
        <v>895</v>
      </c>
      <c r="L57" s="4" t="n">
        <v>30.7</v>
      </c>
      <c r="M57" s="4" t="n">
        <v>4.85</v>
      </c>
      <c r="N57" s="6" t="n">
        <v>0.9745</v>
      </c>
      <c r="O57" s="7"/>
      <c r="P57" s="3" t="s">
        <v>34</v>
      </c>
      <c r="Q57" s="8" t="n">
        <f aca="false">N57-N56</f>
        <v>-0.00619999999999998</v>
      </c>
    </row>
  </sheetData>
  <autoFilter ref="A1:Q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90"/>
  </cols>
  <sheetData>
    <row r="1" customFormat="false" ht="16.15" hidden="false" customHeight="false" outlineLevel="0" collapsed="false">
      <c r="A1" s="10" t="s">
        <v>36</v>
      </c>
    </row>
    <row r="3" customFormat="false" ht="15" hidden="false" customHeight="false" outlineLevel="0" collapsed="false">
      <c r="A3" s="11" t="s">
        <v>37</v>
      </c>
      <c r="B3" s="12" t="n">
        <v>0.5155</v>
      </c>
      <c r="C3" s="13" t="s">
        <v>38</v>
      </c>
    </row>
    <row r="5" customFormat="false" ht="15" hidden="false" customHeight="false" outlineLevel="0" collapsed="false">
      <c r="A5" s="13" t="s">
        <v>39</v>
      </c>
    </row>
    <row r="6" customFormat="false" ht="15" hidden="false" customHeight="false" outlineLevel="0" collapsed="false">
      <c r="A6" s="13" t="s">
        <v>40</v>
      </c>
    </row>
    <row r="7" customFormat="false" ht="15" hidden="false" customHeight="false" outlineLevel="0" collapsed="false">
      <c r="A7" s="13" t="s">
        <v>41</v>
      </c>
    </row>
    <row r="8" customFormat="false" ht="15" hidden="false" customHeight="false" outlineLevel="0" collapsed="false">
      <c r="A8" s="13" t="s">
        <v>42</v>
      </c>
    </row>
    <row r="9" customFormat="false" ht="15" hidden="false" customHeight="false" outlineLevel="0" collapsed="false">
      <c r="A9" s="13" t="s">
        <v>43</v>
      </c>
    </row>
    <row r="10" customFormat="false" ht="15" hidden="false" customHeight="false" outlineLevel="0" collapsed="false">
      <c r="A10" s="13" t="s">
        <v>44</v>
      </c>
    </row>
    <row r="11" customFormat="false" ht="15" hidden="false" customHeight="false" outlineLevel="0" collapsed="false">
      <c r="A11" s="13" t="s">
        <v>45</v>
      </c>
    </row>
    <row r="12" customFormat="false" ht="15" hidden="false" customHeight="false" outlineLevel="0" collapsed="false">
      <c r="A12" s="13" t="s">
        <v>46</v>
      </c>
    </row>
    <row r="13" customFormat="false" ht="15" hidden="false" customHeight="false" outlineLevel="0" collapsed="false">
      <c r="A13" s="13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2026-10-07T05:57:54Z</dcterms:created>
  <dc:creator>openpyxl</dc:creator>
  <dc:description/>
  <dc:language>en-US</dc:language>
  <cp:lastModifiedBy/>
  <dcterms:modified xsi:type="dcterms:W3CDTF">2026-10-07T05:57:55Z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