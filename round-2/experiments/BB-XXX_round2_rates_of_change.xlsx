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te of change" sheetId="2" state="visible" r:id="rId4"/>
    <sheet name="Notes" sheetId="3" state="visible" r:id="rId5"/>
  </sheets>
  <definedNames>
    <definedName function="false" hidden="true" localSheetId="1" name="_xlnm._FilterDatabase" vbProcedure="false">'Rate of change'!$A$1:$M$42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<sst xmlns="http://schemas.openxmlformats.org/spreadsheetml/2006/main" count="131" uniqueCount="42">
  <si>
    <t xml:space="preserve">Group</t>
  </si>
  <si>
    <t xml:space="preserve">Input</t>
  </si>
  <si>
    <t xml:space="preserve">Range start</t>
  </si>
  <si>
    <t xml:space="preserve">Range end</t>
  </si>
  <si>
    <t xml:space="preserve">Score start</t>
  </si>
  <si>
    <t xml:space="preserve">Score end</t>
  </si>
  <si>
    <t xml:space="preserve">Total Δscore</t>
  </si>
  <si>
    <t xml:space="preserve">Avg slope</t>
  </si>
  <si>
    <t xml:space="preserve">Total % change in score</t>
  </si>
  <si>
    <t xml:space="preserve">01 Column 2 sweep</t>
  </si>
  <si>
    <t xml:space="preserve">column_2</t>
  </si>
  <si>
    <t xml:space="preserve">02 Column 3 sweep</t>
  </si>
  <si>
    <t xml:space="preserve">column_3</t>
  </si>
  <si>
    <t xml:space="preserve">03 Recent seizures sweep</t>
  </si>
  <si>
    <t xml:space="preserve">seizures</t>
  </si>
  <si>
    <t xml:space="preserve">04 Route age sweep</t>
  </si>
  <si>
    <t xml:space="preserve">route_age</t>
  </si>
  <si>
    <t xml:space="preserve">05 Containers sweep</t>
  </si>
  <si>
    <t xml:space="preserve">containers</t>
  </si>
  <si>
    <t xml:space="preserve">06 Score x seizures (seizures=1.5)</t>
  </si>
  <si>
    <t xml:space="preserve">shipper_score</t>
  </si>
  <si>
    <t xml:space="preserve">06 Score x seizures (seizures=2.5)</t>
  </si>
  <si>
    <t xml:space="preserve">06 Score x seizures (seizures=3)</t>
  </si>
  <si>
    <t xml:space="preserve">08 Decision boundary</t>
  </si>
  <si>
    <t xml:space="preserve">09 Port C route age</t>
  </si>
  <si>
    <t xml:space="preserve">10 Best-anchor seizures</t>
  </si>
  <si>
    <t xml:space="preserve">x from</t>
  </si>
  <si>
    <t xml:space="preserve">x to</t>
  </si>
  <si>
    <t xml:space="preserve">Score from</t>
  </si>
  <si>
    <t xml:space="preserve">Score to</t>
  </si>
  <si>
    <t xml:space="preserve">Δx</t>
  </si>
  <si>
    <t xml:space="preserve">Δscore</t>
  </si>
  <si>
    <t xml:space="preserve">Slope (Δscore/Δx)</t>
  </si>
  <si>
    <t xml:space="preserve">% change in input</t>
  </si>
  <si>
    <t xml:space="preserve">% change in score</t>
  </si>
  <si>
    <t xml:space="preserve">Elasticity (%Δscore / %Δinput)</t>
  </si>
  <si>
    <t xml:space="preserve">Direction</t>
  </si>
  <si>
    <t xml:space="preserve">Slope = change in model score per 1 unit of the input, between consecutive observed points.</t>
  </si>
  <si>
    <t xml:space="preserve">Elasticity = % change in score ÷ % change in input; &gt;1 in magnitude means score moves proportionally more than the input.</t>
  </si>
  <si>
    <t xml:space="preserve">Everything is computed between observed points only; it is local, not a fitted model.</t>
  </si>
  <si>
    <t xml:space="preserve">Group 07 (ports) is categorical and excluded. Group 09 has only two points, so its slope is one average over a large jump.</t>
  </si>
  <si>
    <t xml:space="preserve">Source scores: BB-XXX_round2_experiments.xlsx.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</si>
</sst>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00"/>
    <numFmt numFmtId="167" formatCode="0.0%"/>
    <numFmt numFmtId="168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29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n">
        <f aca="false">'Rate of change'!C2</f>
        <v>5</v>
      </c>
      <c r="D2" s="2" t="n">
        <f aca="false">'Rate of change'!D4</f>
        <v>20</v>
      </c>
      <c r="E2" s="3" t="n">
        <f aca="false">'Rate of change'!E2</f>
        <v>0.5385</v>
      </c>
      <c r="F2" s="3" t="n">
        <f aca="false">'Rate of change'!F4</f>
        <v>0.4546</v>
      </c>
      <c r="G2" s="3" t="n">
        <f aca="false">F2-E2</f>
        <v>-0.0839</v>
      </c>
      <c r="H2" s="4" t="n">
        <f aca="false">G2/(D2-C2)</f>
        <v>-0.00559333333333333</v>
      </c>
      <c r="I2" s="5" t="n">
        <f aca="false">G2/E2</f>
        <v>-0.155803156917363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n">
        <f aca="false">'Rate of change'!C5</f>
        <v>0.3</v>
      </c>
      <c r="D3" s="2" t="n">
        <f aca="false">'Rate of change'!D11</f>
        <v>0.7</v>
      </c>
      <c r="E3" s="3" t="n">
        <f aca="false">'Rate of change'!E5</f>
        <v>0.3917</v>
      </c>
      <c r="F3" s="3" t="n">
        <f aca="false">'Rate of change'!F11</f>
        <v>0.6841</v>
      </c>
      <c r="G3" s="3" t="n">
        <f aca="false">F3-E3</f>
        <v>0.2924</v>
      </c>
      <c r="H3" s="4" t="n">
        <f aca="false">G3/(D3-C3)</f>
        <v>0.731</v>
      </c>
      <c r="I3" s="5" t="n">
        <f aca="false">G3/E3</f>
        <v>0.74648966045443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n">
        <f aca="false">'Rate of change'!C12</f>
        <v>1.5</v>
      </c>
      <c r="D4" s="2" t="n">
        <f aca="false">'Rate of change'!D14</f>
        <v>3.5</v>
      </c>
      <c r="E4" s="3" t="n">
        <f aca="false">'Rate of change'!E12</f>
        <v>0.4613</v>
      </c>
      <c r="F4" s="3" t="n">
        <f aca="false">'Rate of change'!F14</f>
        <v>0.6413</v>
      </c>
      <c r="G4" s="3" t="n">
        <f aca="false">F4-E4</f>
        <v>0.18</v>
      </c>
      <c r="H4" s="4" t="n">
        <f aca="false">G4/(D4-C4)</f>
        <v>0.09</v>
      </c>
      <c r="I4" s="5" t="n">
        <f aca="false">G4/E4</f>
        <v>0.39020160416215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n">
        <f aca="false">'Rate of change'!C15</f>
        <v>25</v>
      </c>
      <c r="D5" s="2" t="n">
        <f aca="false">'Rate of change'!D19</f>
        <v>56.5</v>
      </c>
      <c r="E5" s="3" t="n">
        <f aca="false">'Rate of change'!E15</f>
        <v>0.7658</v>
      </c>
      <c r="F5" s="3" t="n">
        <f aca="false">'Rate of change'!F19</f>
        <v>0.4439</v>
      </c>
      <c r="G5" s="3" t="n">
        <f aca="false">F5-E5</f>
        <v>-0.3219</v>
      </c>
      <c r="H5" s="4" t="n">
        <f aca="false">G5/(D5-C5)</f>
        <v>-0.0102190476190476</v>
      </c>
      <c r="I5" s="5" t="n">
        <f aca="false">G5/E5</f>
        <v>-0.420344737529381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n">
        <f aca="false">'Rate of change'!C20</f>
        <v>10</v>
      </c>
      <c r="D6" s="2" t="n">
        <f aca="false">'Rate of change'!D24</f>
        <v>40</v>
      </c>
      <c r="E6" s="3" t="n">
        <f aca="false">'Rate of change'!E20</f>
        <v>0.4639</v>
      </c>
      <c r="F6" s="3" t="n">
        <f aca="false">'Rate of change'!F24</f>
        <v>0.6525</v>
      </c>
      <c r="G6" s="3" t="n">
        <f aca="false">F6-E6</f>
        <v>0.1886</v>
      </c>
      <c r="H6" s="4" t="n">
        <f aca="false">G6/(D6-C6)</f>
        <v>0.00628666666666667</v>
      </c>
      <c r="I6" s="5" t="n">
        <f aca="false">G6/E6</f>
        <v>0.406553136451822</v>
      </c>
    </row>
    <row r="7" customFormat="false" ht="15" hidden="false" customHeight="false" outlineLevel="0" collapsed="false">
      <c r="A7" s="2" t="s">
        <v>19</v>
      </c>
      <c r="B7" s="2" t="s">
        <v>20</v>
      </c>
      <c r="C7" s="2" t="n">
        <f aca="false">'Rate of change'!C25</f>
        <v>500</v>
      </c>
      <c r="D7" s="2" t="n">
        <f aca="false">'Rate of change'!D28</f>
        <v>700</v>
      </c>
      <c r="E7" s="3" t="n">
        <f aca="false">'Rate of change'!E25</f>
        <v>0.3615</v>
      </c>
      <c r="F7" s="3" t="n">
        <f aca="false">'Rate of change'!F28</f>
        <v>0.5278</v>
      </c>
      <c r="G7" s="3" t="n">
        <f aca="false">F7-E7</f>
        <v>0.1663</v>
      </c>
      <c r="H7" s="4" t="n">
        <f aca="false">G7/(D7-C7)</f>
        <v>0.0008315</v>
      </c>
      <c r="I7" s="5" t="n">
        <f aca="false">G7/E7</f>
        <v>0.460027662517289</v>
      </c>
    </row>
    <row r="8" customFormat="false" ht="15" hidden="false" customHeight="false" outlineLevel="0" collapsed="false">
      <c r="A8" s="2" t="s">
        <v>21</v>
      </c>
      <c r="B8" s="2" t="s">
        <v>20</v>
      </c>
      <c r="C8" s="2" t="n">
        <f aca="false">'Rate of change'!C29</f>
        <v>500</v>
      </c>
      <c r="D8" s="2" t="n">
        <f aca="false">'Rate of change'!D32</f>
        <v>700</v>
      </c>
      <c r="E8" s="3" t="n">
        <f aca="false">'Rate of change'!E29</f>
        <v>0.4305</v>
      </c>
      <c r="F8" s="3" t="n">
        <f aca="false">'Rate of change'!F32</f>
        <v>0.5735</v>
      </c>
      <c r="G8" s="3" t="n">
        <f aca="false">F8-E8</f>
        <v>0.143</v>
      </c>
      <c r="H8" s="4" t="n">
        <f aca="false">G8/(D8-C8)</f>
        <v>0.000715</v>
      </c>
      <c r="I8" s="5" t="n">
        <f aca="false">G8/E8</f>
        <v>0.332171893147503</v>
      </c>
    </row>
    <row r="9" customFormat="false" ht="15" hidden="false" customHeight="false" outlineLevel="0" collapsed="false">
      <c r="A9" s="2" t="s">
        <v>22</v>
      </c>
      <c r="B9" s="2" t="s">
        <v>20</v>
      </c>
      <c r="C9" s="2" t="n">
        <f aca="false">'Rate of change'!C33</f>
        <v>500</v>
      </c>
      <c r="D9" s="2" t="n">
        <f aca="false">'Rate of change'!D36</f>
        <v>700</v>
      </c>
      <c r="E9" s="3" t="n">
        <f aca="false">'Rate of change'!E33</f>
        <v>0.5963</v>
      </c>
      <c r="F9" s="3" t="n">
        <f aca="false">'Rate of change'!F36</f>
        <v>0.6597</v>
      </c>
      <c r="G9" s="3" t="n">
        <f aca="false">F9-E9</f>
        <v>0.0633999999999999</v>
      </c>
      <c r="H9" s="4" t="n">
        <f aca="false">G9/(D9-C9)</f>
        <v>0.000317</v>
      </c>
      <c r="I9" s="5" t="n">
        <f aca="false">G9/E9</f>
        <v>0.106322320979373</v>
      </c>
    </row>
    <row r="10" customFormat="false" ht="15" hidden="false" customHeight="false" outlineLevel="0" collapsed="false">
      <c r="A10" s="2" t="s">
        <v>23</v>
      </c>
      <c r="B10" s="2" t="s">
        <v>20</v>
      </c>
      <c r="C10" s="2" t="n">
        <f aca="false">'Rate of change'!C37</f>
        <v>550</v>
      </c>
      <c r="D10" s="2" t="n">
        <f aca="false">'Rate of change'!D40</f>
        <v>600</v>
      </c>
      <c r="E10" s="3" t="n">
        <f aca="false">'Rate of change'!E37</f>
        <v>0.4796</v>
      </c>
      <c r="F10" s="3" t="n">
        <f aca="false">'Rate of change'!F40</f>
        <v>0.5155</v>
      </c>
      <c r="G10" s="3" t="n">
        <f aca="false">F10-E10</f>
        <v>0.0358999999999999</v>
      </c>
      <c r="H10" s="4" t="n">
        <f aca="false">G10/(D10-C10)</f>
        <v>0.000717999999999999</v>
      </c>
      <c r="I10" s="5" t="n">
        <f aca="false">G10/E10</f>
        <v>0.0748540450375311</v>
      </c>
    </row>
    <row r="11" customFormat="false" ht="15" hidden="false" customHeight="false" outlineLevel="0" collapsed="false">
      <c r="A11" s="2" t="s">
        <v>24</v>
      </c>
      <c r="B11" s="2" t="s">
        <v>16</v>
      </c>
      <c r="C11" s="2" t="n">
        <f aca="false">'Rate of change'!C41</f>
        <v>27.5</v>
      </c>
      <c r="D11" s="2" t="n">
        <f aca="false">'Rate of change'!D41</f>
        <v>46.5</v>
      </c>
      <c r="E11" s="3" t="n">
        <f aca="false">'Rate of change'!E41</f>
        <v>0.043</v>
      </c>
      <c r="F11" s="3" t="n">
        <f aca="false">'Rate of change'!F41</f>
        <v>0.9392</v>
      </c>
      <c r="G11" s="3" t="n">
        <f aca="false">F11-E11</f>
        <v>0.8962</v>
      </c>
      <c r="H11" s="4" t="n">
        <f aca="false">G11/(D11-C11)</f>
        <v>0.0471684210526316</v>
      </c>
      <c r="I11" s="5" t="n">
        <f aca="false">G11/E11</f>
        <v>20.8418604651163</v>
      </c>
    </row>
    <row r="12" customFormat="false" ht="15" hidden="false" customHeight="false" outlineLevel="0" collapsed="false">
      <c r="A12" s="2" t="s">
        <v>25</v>
      </c>
      <c r="B12" s="2" t="s">
        <v>14</v>
      </c>
      <c r="C12" s="2" t="n">
        <f aca="false">'Rate of change'!C42</f>
        <v>4.46</v>
      </c>
      <c r="D12" s="2" t="n">
        <f aca="false">'Rate of change'!D42</f>
        <v>5</v>
      </c>
      <c r="E12" s="3" t="n">
        <f aca="false">'Rate of change'!E42</f>
        <v>0.9807</v>
      </c>
      <c r="F12" s="3" t="n">
        <f aca="false">'Rate of change'!F42</f>
        <v>0.9745</v>
      </c>
      <c r="G12" s="3" t="n">
        <f aca="false">F12-E12</f>
        <v>-0.00619999999999998</v>
      </c>
      <c r="H12" s="4" t="n">
        <f aca="false">G12/(D12-C12)</f>
        <v>-0.0114814814814815</v>
      </c>
      <c r="I12" s="5" t="n">
        <f aca="false">G12/E12</f>
        <v>-0.00632201488732536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4" min="3" style="0" width="9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20"/>
    <col collapsed="false" customWidth="true" hidden="false" outlineLevel="0" max="13" min="13" style="0" width="11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customFormat="false" ht="15" hidden="false" customHeight="false" outlineLevel="0" collapsed="false">
      <c r="A2" s="6" t="s">
        <v>9</v>
      </c>
      <c r="B2" s="6" t="s">
        <v>10</v>
      </c>
      <c r="C2" s="7" t="n">
        <v>5</v>
      </c>
      <c r="D2" s="7" t="n">
        <v>10</v>
      </c>
      <c r="E2" s="8" t="n">
        <v>0.5385</v>
      </c>
      <c r="F2" s="8" t="n">
        <v>0.5155</v>
      </c>
      <c r="G2" s="6" t="n">
        <f aca="false">D2-C2</f>
        <v>5</v>
      </c>
      <c r="H2" s="9" t="n">
        <f aca="false">F2-E2</f>
        <v>-0.023</v>
      </c>
      <c r="I2" s="10" t="n">
        <f aca="false">H2/G2</f>
        <v>-0.0046</v>
      </c>
      <c r="J2" s="11" t="n">
        <f aca="false">G2/C2</f>
        <v>1</v>
      </c>
      <c r="K2" s="11" t="n">
        <f aca="false">H2/E2</f>
        <v>-0.0427112349117921</v>
      </c>
      <c r="L2" s="12" t="n">
        <f aca="false">K2/J2</f>
        <v>-0.0427112349117921</v>
      </c>
      <c r="M2" s="13" t="str">
        <f aca="false">IF(H2&gt;0,"Up",IF(H2&lt;0,"Down","Flat"))</f>
        <v>Down</v>
      </c>
    </row>
    <row r="3" customFormat="false" ht="15" hidden="false" customHeight="false" outlineLevel="0" collapsed="false">
      <c r="A3" s="6" t="s">
        <v>9</v>
      </c>
      <c r="B3" s="6" t="s">
        <v>10</v>
      </c>
      <c r="C3" s="7" t="n">
        <v>10</v>
      </c>
      <c r="D3" s="7" t="n">
        <v>15</v>
      </c>
      <c r="E3" s="8" t="n">
        <v>0.5155</v>
      </c>
      <c r="F3" s="8" t="n">
        <v>0.4604</v>
      </c>
      <c r="G3" s="6" t="n">
        <f aca="false">D3-C3</f>
        <v>5</v>
      </c>
      <c r="H3" s="9" t="n">
        <f aca="false">F3-E3</f>
        <v>-0.0551</v>
      </c>
      <c r="I3" s="10" t="n">
        <f aca="false">H3/G3</f>
        <v>-0.01102</v>
      </c>
      <c r="J3" s="11" t="n">
        <f aca="false">G3/C3</f>
        <v>0.5</v>
      </c>
      <c r="K3" s="11" t="n">
        <f aca="false">H3/E3</f>
        <v>-0.106886517943744</v>
      </c>
      <c r="L3" s="12" t="n">
        <f aca="false">K3/J3</f>
        <v>-0.213773035887488</v>
      </c>
      <c r="M3" s="13" t="str">
        <f aca="false">IF(H3&gt;0,"Up",IF(H3&lt;0,"Down","Flat"))</f>
        <v>Down</v>
      </c>
    </row>
    <row r="4" customFormat="false" ht="15" hidden="false" customHeight="false" outlineLevel="0" collapsed="false">
      <c r="A4" s="6" t="s">
        <v>9</v>
      </c>
      <c r="B4" s="6" t="s">
        <v>10</v>
      </c>
      <c r="C4" s="7" t="n">
        <v>15</v>
      </c>
      <c r="D4" s="7" t="n">
        <v>20</v>
      </c>
      <c r="E4" s="8" t="n">
        <v>0.4604</v>
      </c>
      <c r="F4" s="8" t="n">
        <v>0.4546</v>
      </c>
      <c r="G4" s="6" t="n">
        <f aca="false">D4-C4</f>
        <v>5</v>
      </c>
      <c r="H4" s="9" t="n">
        <f aca="false">F4-E4</f>
        <v>-0.00579999999999997</v>
      </c>
      <c r="I4" s="10" t="n">
        <f aca="false">H4/G4</f>
        <v>-0.00115999999999999</v>
      </c>
      <c r="J4" s="11" t="n">
        <f aca="false">G4/C4</f>
        <v>0.333333333333333</v>
      </c>
      <c r="K4" s="11" t="n">
        <f aca="false">H4/E4</f>
        <v>-0.0125977410947002</v>
      </c>
      <c r="L4" s="12" t="n">
        <f aca="false">K4/J4</f>
        <v>-0.0377932232841006</v>
      </c>
      <c r="M4" s="13" t="str">
        <f aca="false">IF(H4&gt;0,"Up",IF(H4&lt;0,"Down","Flat"))</f>
        <v>Down</v>
      </c>
    </row>
    <row r="5" customFormat="false" ht="15" hidden="false" customHeight="false" outlineLevel="0" collapsed="false">
      <c r="A5" s="6" t="s">
        <v>11</v>
      </c>
      <c r="B5" s="6" t="s">
        <v>12</v>
      </c>
      <c r="C5" s="7" t="n">
        <v>0.3</v>
      </c>
      <c r="D5" s="7" t="n">
        <v>0.4</v>
      </c>
      <c r="E5" s="8" t="n">
        <v>0.3917</v>
      </c>
      <c r="F5" s="8" t="n">
        <v>0.4353</v>
      </c>
      <c r="G5" s="6" t="n">
        <f aca="false">D5-C5</f>
        <v>0.1</v>
      </c>
      <c r="H5" s="9" t="n">
        <f aca="false">F5-E5</f>
        <v>0.0436</v>
      </c>
      <c r="I5" s="10" t="n">
        <f aca="false">H5/G5</f>
        <v>0.436</v>
      </c>
      <c r="J5" s="11" t="n">
        <f aca="false">G5/C5</f>
        <v>0.333333333333334</v>
      </c>
      <c r="K5" s="11" t="n">
        <f aca="false">H5/E5</f>
        <v>0.111309675772275</v>
      </c>
      <c r="L5" s="12" t="n">
        <f aca="false">K5/J5</f>
        <v>0.333929027316824</v>
      </c>
      <c r="M5" s="13" t="str">
        <f aca="false">IF(H5&gt;0,"Up",IF(H5&lt;0,"Down","Flat"))</f>
        <v>Up</v>
      </c>
    </row>
    <row r="6" customFormat="false" ht="15" hidden="false" customHeight="false" outlineLevel="0" collapsed="false">
      <c r="A6" s="6" t="s">
        <v>11</v>
      </c>
      <c r="B6" s="6" t="s">
        <v>12</v>
      </c>
      <c r="C6" s="7" t="n">
        <v>0.4</v>
      </c>
      <c r="D6" s="7" t="n">
        <v>0.5</v>
      </c>
      <c r="E6" s="8" t="n">
        <v>0.4353</v>
      </c>
      <c r="F6" s="8" t="n">
        <v>0.5155</v>
      </c>
      <c r="G6" s="6" t="n">
        <f aca="false">D6-C6</f>
        <v>0.1</v>
      </c>
      <c r="H6" s="9" t="n">
        <f aca="false">F6-E6</f>
        <v>0.0801999999999999</v>
      </c>
      <c r="I6" s="10" t="n">
        <f aca="false">H6/G6</f>
        <v>0.802</v>
      </c>
      <c r="J6" s="11" t="n">
        <f aca="false">G6/C6</f>
        <v>0.25</v>
      </c>
      <c r="K6" s="11" t="n">
        <f aca="false">H6/E6</f>
        <v>0.184240753503331</v>
      </c>
      <c r="L6" s="12" t="n">
        <f aca="false">K6/J6</f>
        <v>0.736963014013324</v>
      </c>
      <c r="M6" s="13" t="str">
        <f aca="false">IF(H6&gt;0,"Up",IF(H6&lt;0,"Down","Flat"))</f>
        <v>Up</v>
      </c>
    </row>
    <row r="7" customFormat="false" ht="15" hidden="false" customHeight="false" outlineLevel="0" collapsed="false">
      <c r="A7" s="6" t="s">
        <v>11</v>
      </c>
      <c r="B7" s="6" t="s">
        <v>12</v>
      </c>
      <c r="C7" s="7" t="n">
        <v>0.5</v>
      </c>
      <c r="D7" s="7" t="n">
        <v>0.525</v>
      </c>
      <c r="E7" s="8" t="n">
        <v>0.5155</v>
      </c>
      <c r="F7" s="8" t="n">
        <v>0.5325</v>
      </c>
      <c r="G7" s="6" t="n">
        <f aca="false">D7-C7</f>
        <v>0.025</v>
      </c>
      <c r="H7" s="9" t="n">
        <f aca="false">F7-E7</f>
        <v>0.017</v>
      </c>
      <c r="I7" s="10" t="n">
        <f aca="false">H7/G7</f>
        <v>0.68</v>
      </c>
      <c r="J7" s="11" t="n">
        <f aca="false">G7/C7</f>
        <v>0.05</v>
      </c>
      <c r="K7" s="11" t="n">
        <f aca="false">H7/E7</f>
        <v>0.0329776915615907</v>
      </c>
      <c r="L7" s="12" t="n">
        <f aca="false">K7/J7</f>
        <v>0.659553831231814</v>
      </c>
      <c r="M7" s="13" t="str">
        <f aca="false">IF(H7&gt;0,"Up",IF(H7&lt;0,"Down","Flat"))</f>
        <v>Up</v>
      </c>
    </row>
    <row r="8" customFormat="false" ht="15" hidden="false" customHeight="false" outlineLevel="0" collapsed="false">
      <c r="A8" s="6" t="s">
        <v>11</v>
      </c>
      <c r="B8" s="6" t="s">
        <v>12</v>
      </c>
      <c r="C8" s="7" t="n">
        <v>0.525</v>
      </c>
      <c r="D8" s="7" t="n">
        <v>0.55</v>
      </c>
      <c r="E8" s="8" t="n">
        <v>0.5325</v>
      </c>
      <c r="F8" s="8" t="n">
        <v>0.5675</v>
      </c>
      <c r="G8" s="6" t="n">
        <f aca="false">D8-C8</f>
        <v>0.025</v>
      </c>
      <c r="H8" s="9" t="n">
        <f aca="false">F8-E8</f>
        <v>0.035</v>
      </c>
      <c r="I8" s="10" t="n">
        <f aca="false">H8/G8</f>
        <v>1.4</v>
      </c>
      <c r="J8" s="11" t="n">
        <f aca="false">G8/C8</f>
        <v>0.0476190476190477</v>
      </c>
      <c r="K8" s="11" t="n">
        <f aca="false">H8/E8</f>
        <v>0.0657276995305165</v>
      </c>
      <c r="L8" s="12" t="n">
        <f aca="false">K8/J8</f>
        <v>1.38028169014085</v>
      </c>
      <c r="M8" s="13" t="str">
        <f aca="false">IF(H8&gt;0,"Up",IF(H8&lt;0,"Down","Flat"))</f>
        <v>Up</v>
      </c>
    </row>
    <row r="9" customFormat="false" ht="15" hidden="false" customHeight="false" outlineLevel="0" collapsed="false">
      <c r="A9" s="6" t="s">
        <v>11</v>
      </c>
      <c r="B9" s="6" t="s">
        <v>12</v>
      </c>
      <c r="C9" s="7" t="n">
        <v>0.55</v>
      </c>
      <c r="D9" s="7" t="n">
        <v>0.575</v>
      </c>
      <c r="E9" s="8" t="n">
        <v>0.5675</v>
      </c>
      <c r="F9" s="8" t="n">
        <v>0.5856</v>
      </c>
      <c r="G9" s="6" t="n">
        <f aca="false">D9-C9</f>
        <v>0.0249999999999999</v>
      </c>
      <c r="H9" s="9" t="n">
        <f aca="false">F9-E9</f>
        <v>0.0181</v>
      </c>
      <c r="I9" s="10" t="n">
        <f aca="false">H9/G9</f>
        <v>0.724000000000003</v>
      </c>
      <c r="J9" s="11" t="n">
        <f aca="false">G9/C9</f>
        <v>0.0454545454545453</v>
      </c>
      <c r="K9" s="11" t="n">
        <f aca="false">H9/E9</f>
        <v>0.0318942731277533</v>
      </c>
      <c r="L9" s="12" t="n">
        <f aca="false">K9/J9</f>
        <v>0.701674008810576</v>
      </c>
      <c r="M9" s="13" t="str">
        <f aca="false">IF(H9&gt;0,"Up",IF(H9&lt;0,"Down","Flat"))</f>
        <v>Up</v>
      </c>
    </row>
    <row r="10" customFormat="false" ht="15" hidden="false" customHeight="false" outlineLevel="0" collapsed="false">
      <c r="A10" s="6" t="s">
        <v>11</v>
      </c>
      <c r="B10" s="6" t="s">
        <v>12</v>
      </c>
      <c r="C10" s="7" t="n">
        <v>0.575</v>
      </c>
      <c r="D10" s="7" t="n">
        <v>0.6</v>
      </c>
      <c r="E10" s="8" t="n">
        <v>0.5856</v>
      </c>
      <c r="F10" s="8" t="n">
        <v>0.6451</v>
      </c>
      <c r="G10" s="6" t="n">
        <f aca="false">D10-C10</f>
        <v>0.025</v>
      </c>
      <c r="H10" s="9" t="n">
        <f aca="false">F10-E10</f>
        <v>0.0595</v>
      </c>
      <c r="I10" s="10" t="n">
        <f aca="false">H10/G10</f>
        <v>2.38</v>
      </c>
      <c r="J10" s="11" t="n">
        <f aca="false">G10/C10</f>
        <v>0.0434782608695653</v>
      </c>
      <c r="K10" s="11" t="n">
        <f aca="false">H10/E10</f>
        <v>0.101605191256831</v>
      </c>
      <c r="L10" s="12" t="n">
        <f aca="false">K10/J10</f>
        <v>2.3369193989071</v>
      </c>
      <c r="M10" s="13" t="str">
        <f aca="false">IF(H10&gt;0,"Up",IF(H10&lt;0,"Down","Flat"))</f>
        <v>Up</v>
      </c>
    </row>
    <row r="11" customFormat="false" ht="15" hidden="false" customHeight="false" outlineLevel="0" collapsed="false">
      <c r="A11" s="6" t="s">
        <v>11</v>
      </c>
      <c r="B11" s="6" t="s">
        <v>12</v>
      </c>
      <c r="C11" s="7" t="n">
        <v>0.6</v>
      </c>
      <c r="D11" s="7" t="n">
        <v>0.7</v>
      </c>
      <c r="E11" s="8" t="n">
        <v>0.6451</v>
      </c>
      <c r="F11" s="8" t="n">
        <v>0.6841</v>
      </c>
      <c r="G11" s="6" t="n">
        <f aca="false">D11-C11</f>
        <v>0.1</v>
      </c>
      <c r="H11" s="9" t="n">
        <f aca="false">F11-E11</f>
        <v>0.039</v>
      </c>
      <c r="I11" s="10" t="n">
        <f aca="false">H11/G11</f>
        <v>0.39</v>
      </c>
      <c r="J11" s="11" t="n">
        <f aca="false">G11/C11</f>
        <v>0.166666666666667</v>
      </c>
      <c r="K11" s="11" t="n">
        <f aca="false">H11/E11</f>
        <v>0.0604557432956131</v>
      </c>
      <c r="L11" s="12" t="n">
        <f aca="false">K11/J11</f>
        <v>0.362734459773679</v>
      </c>
      <c r="M11" s="13" t="str">
        <f aca="false">IF(H11&gt;0,"Up",IF(H11&lt;0,"Down","Flat"))</f>
        <v>Up</v>
      </c>
    </row>
    <row r="12" customFormat="false" ht="15" hidden="false" customHeight="false" outlineLevel="0" collapsed="false">
      <c r="A12" s="6" t="s">
        <v>13</v>
      </c>
      <c r="B12" s="6" t="s">
        <v>14</v>
      </c>
      <c r="C12" s="7" t="n">
        <v>1.5</v>
      </c>
      <c r="D12" s="7" t="n">
        <v>2.5</v>
      </c>
      <c r="E12" s="8" t="n">
        <v>0.4613</v>
      </c>
      <c r="F12" s="8" t="n">
        <v>0.5155</v>
      </c>
      <c r="G12" s="6" t="n">
        <f aca="false">D12-C12</f>
        <v>1</v>
      </c>
      <c r="H12" s="9" t="n">
        <f aca="false">F12-E12</f>
        <v>0.0542</v>
      </c>
      <c r="I12" s="10" t="n">
        <f aca="false">H12/G12</f>
        <v>0.0542</v>
      </c>
      <c r="J12" s="11" t="n">
        <f aca="false">G12/C12</f>
        <v>0.666666666666667</v>
      </c>
      <c r="K12" s="11" t="n">
        <f aca="false">H12/E12</f>
        <v>0.117494038586603</v>
      </c>
      <c r="L12" s="12" t="n">
        <f aca="false">K12/J12</f>
        <v>0.176241057879905</v>
      </c>
      <c r="M12" s="13" t="str">
        <f aca="false">IF(H12&gt;0,"Up",IF(H12&lt;0,"Down","Flat"))</f>
        <v>Up</v>
      </c>
    </row>
    <row r="13" customFormat="false" ht="15" hidden="false" customHeight="false" outlineLevel="0" collapsed="false">
      <c r="A13" s="6" t="s">
        <v>13</v>
      </c>
      <c r="B13" s="6" t="s">
        <v>14</v>
      </c>
      <c r="C13" s="7" t="n">
        <v>2.5</v>
      </c>
      <c r="D13" s="7" t="n">
        <v>3</v>
      </c>
      <c r="E13" s="8" t="n">
        <v>0.5155</v>
      </c>
      <c r="F13" s="8" t="n">
        <v>0.6305</v>
      </c>
      <c r="G13" s="6" t="n">
        <f aca="false">D13-C13</f>
        <v>0.5</v>
      </c>
      <c r="H13" s="9" t="n">
        <f aca="false">F13-E13</f>
        <v>0.115</v>
      </c>
      <c r="I13" s="10" t="n">
        <f aca="false">H13/G13</f>
        <v>0.23</v>
      </c>
      <c r="J13" s="11" t="n">
        <f aca="false">G13/C13</f>
        <v>0.2</v>
      </c>
      <c r="K13" s="11" t="n">
        <f aca="false">H13/E13</f>
        <v>0.223084384093113</v>
      </c>
      <c r="L13" s="12" t="n">
        <f aca="false">K13/J13</f>
        <v>1.11542192046557</v>
      </c>
      <c r="M13" s="13" t="str">
        <f aca="false">IF(H13&gt;0,"Up",IF(H13&lt;0,"Down","Flat"))</f>
        <v>Up</v>
      </c>
    </row>
    <row r="14" customFormat="false" ht="15" hidden="false" customHeight="false" outlineLevel="0" collapsed="false">
      <c r="A14" s="6" t="s">
        <v>13</v>
      </c>
      <c r="B14" s="6" t="s">
        <v>14</v>
      </c>
      <c r="C14" s="7" t="n">
        <v>3</v>
      </c>
      <c r="D14" s="7" t="n">
        <v>3.5</v>
      </c>
      <c r="E14" s="8" t="n">
        <v>0.6305</v>
      </c>
      <c r="F14" s="8" t="n">
        <v>0.6413</v>
      </c>
      <c r="G14" s="6" t="n">
        <f aca="false">D14-C14</f>
        <v>0.5</v>
      </c>
      <c r="H14" s="9" t="n">
        <f aca="false">F14-E14</f>
        <v>0.0108</v>
      </c>
      <c r="I14" s="10" t="n">
        <f aca="false">H14/G14</f>
        <v>0.0216000000000001</v>
      </c>
      <c r="J14" s="11" t="n">
        <f aca="false">G14/C14</f>
        <v>0.166666666666667</v>
      </c>
      <c r="K14" s="11" t="n">
        <f aca="false">H14/E14</f>
        <v>0.0171292624900873</v>
      </c>
      <c r="L14" s="12" t="n">
        <f aca="false">K14/J14</f>
        <v>0.102775574940524</v>
      </c>
      <c r="M14" s="13" t="str">
        <f aca="false">IF(H14&gt;0,"Up",IF(H14&lt;0,"Down","Flat"))</f>
        <v>Up</v>
      </c>
    </row>
    <row r="15" customFormat="false" ht="15" hidden="false" customHeight="false" outlineLevel="0" collapsed="false">
      <c r="A15" s="6" t="s">
        <v>15</v>
      </c>
      <c r="B15" s="6" t="s">
        <v>16</v>
      </c>
      <c r="C15" s="7" t="n">
        <v>25</v>
      </c>
      <c r="D15" s="7" t="n">
        <v>36.5</v>
      </c>
      <c r="E15" s="8" t="n">
        <v>0.7658</v>
      </c>
      <c r="F15" s="8" t="n">
        <v>0.676</v>
      </c>
      <c r="G15" s="6" t="n">
        <f aca="false">D15-C15</f>
        <v>11.5</v>
      </c>
      <c r="H15" s="9" t="n">
        <f aca="false">F15-E15</f>
        <v>-0.0898</v>
      </c>
      <c r="I15" s="10" t="n">
        <f aca="false">H15/G15</f>
        <v>-0.00780869565217391</v>
      </c>
      <c r="J15" s="11" t="n">
        <f aca="false">G15/C15</f>
        <v>0.46</v>
      </c>
      <c r="K15" s="11" t="n">
        <f aca="false">H15/E15</f>
        <v>-0.117262992948551</v>
      </c>
      <c r="L15" s="12" t="n">
        <f aca="false">K15/J15</f>
        <v>-0.254919549888153</v>
      </c>
      <c r="M15" s="13" t="str">
        <f aca="false">IF(H15&gt;0,"Up",IF(H15&lt;0,"Down","Flat"))</f>
        <v>Down</v>
      </c>
    </row>
    <row r="16" customFormat="false" ht="15" hidden="false" customHeight="false" outlineLevel="0" collapsed="false">
      <c r="A16" s="6" t="s">
        <v>15</v>
      </c>
      <c r="B16" s="6" t="s">
        <v>16</v>
      </c>
      <c r="C16" s="7" t="n">
        <v>36.5</v>
      </c>
      <c r="D16" s="7" t="n">
        <v>41.5</v>
      </c>
      <c r="E16" s="8" t="n">
        <v>0.676</v>
      </c>
      <c r="F16" s="8" t="n">
        <v>0.619</v>
      </c>
      <c r="G16" s="6" t="n">
        <f aca="false">D16-C16</f>
        <v>5</v>
      </c>
      <c r="H16" s="9" t="n">
        <f aca="false">F16-E16</f>
        <v>-0.0570000000000001</v>
      </c>
      <c r="I16" s="10" t="n">
        <f aca="false">H16/G16</f>
        <v>-0.0114</v>
      </c>
      <c r="J16" s="11" t="n">
        <f aca="false">G16/C16</f>
        <v>0.136986301369863</v>
      </c>
      <c r="K16" s="11" t="n">
        <f aca="false">H16/E16</f>
        <v>-0.084319526627219</v>
      </c>
      <c r="L16" s="12" t="n">
        <f aca="false">K16/J16</f>
        <v>-0.615532544378699</v>
      </c>
      <c r="M16" s="13" t="str">
        <f aca="false">IF(H16&gt;0,"Up",IF(H16&lt;0,"Down","Flat"))</f>
        <v>Down</v>
      </c>
    </row>
    <row r="17" customFormat="false" ht="15" hidden="false" customHeight="false" outlineLevel="0" collapsed="false">
      <c r="A17" s="6" t="s">
        <v>15</v>
      </c>
      <c r="B17" s="6" t="s">
        <v>16</v>
      </c>
      <c r="C17" s="7" t="n">
        <v>41.5</v>
      </c>
      <c r="D17" s="7" t="n">
        <v>46.5</v>
      </c>
      <c r="E17" s="8" t="n">
        <v>0.619</v>
      </c>
      <c r="F17" s="8" t="n">
        <v>0.5155</v>
      </c>
      <c r="G17" s="6" t="n">
        <f aca="false">D17-C17</f>
        <v>5</v>
      </c>
      <c r="H17" s="9" t="n">
        <f aca="false">F17-E17</f>
        <v>-0.1035</v>
      </c>
      <c r="I17" s="10" t="n">
        <f aca="false">H17/G17</f>
        <v>-0.0207</v>
      </c>
      <c r="J17" s="11" t="n">
        <f aca="false">G17/C17</f>
        <v>0.120481927710843</v>
      </c>
      <c r="K17" s="11" t="n">
        <f aca="false">H17/E17</f>
        <v>-0.167205169628433</v>
      </c>
      <c r="L17" s="12" t="n">
        <f aca="false">K17/J17</f>
        <v>-1.38780290791599</v>
      </c>
      <c r="M17" s="13" t="str">
        <f aca="false">IF(H17&gt;0,"Up",IF(H17&lt;0,"Down","Flat"))</f>
        <v>Down</v>
      </c>
    </row>
    <row r="18" customFormat="false" ht="15" hidden="false" customHeight="false" outlineLevel="0" collapsed="false">
      <c r="A18" s="6" t="s">
        <v>15</v>
      </c>
      <c r="B18" s="6" t="s">
        <v>16</v>
      </c>
      <c r="C18" s="7" t="n">
        <v>46.5</v>
      </c>
      <c r="D18" s="7" t="n">
        <v>51.5</v>
      </c>
      <c r="E18" s="8" t="n">
        <v>0.5155</v>
      </c>
      <c r="F18" s="8" t="n">
        <v>0.4793</v>
      </c>
      <c r="G18" s="6" t="n">
        <f aca="false">D18-C18</f>
        <v>5</v>
      </c>
      <c r="H18" s="9" t="n">
        <f aca="false">F18-E18</f>
        <v>-0.0362</v>
      </c>
      <c r="I18" s="10" t="n">
        <f aca="false">H18/G18</f>
        <v>-0.00723999999999999</v>
      </c>
      <c r="J18" s="11" t="n">
        <f aca="false">G18/C18</f>
        <v>0.10752688172043</v>
      </c>
      <c r="K18" s="11" t="n">
        <f aca="false">H18/E18</f>
        <v>-0.070223084384093</v>
      </c>
      <c r="L18" s="12" t="n">
        <f aca="false">K18/J18</f>
        <v>-0.653074684772065</v>
      </c>
      <c r="M18" s="13" t="str">
        <f aca="false">IF(H18&gt;0,"Up",IF(H18&lt;0,"Down","Flat"))</f>
        <v>Down</v>
      </c>
    </row>
    <row r="19" customFormat="false" ht="15" hidden="false" customHeight="false" outlineLevel="0" collapsed="false">
      <c r="A19" s="6" t="s">
        <v>15</v>
      </c>
      <c r="B19" s="6" t="s">
        <v>16</v>
      </c>
      <c r="C19" s="7" t="n">
        <v>51.5</v>
      </c>
      <c r="D19" s="7" t="n">
        <v>56.5</v>
      </c>
      <c r="E19" s="8" t="n">
        <v>0.4793</v>
      </c>
      <c r="F19" s="8" t="n">
        <v>0.4439</v>
      </c>
      <c r="G19" s="6" t="n">
        <f aca="false">D19-C19</f>
        <v>5</v>
      </c>
      <c r="H19" s="9" t="n">
        <f aca="false">F19-E19</f>
        <v>-0.0354</v>
      </c>
      <c r="I19" s="10" t="n">
        <f aca="false">H19/G19</f>
        <v>-0.00708</v>
      </c>
      <c r="J19" s="11" t="n">
        <f aca="false">G19/C19</f>
        <v>0.0970873786407767</v>
      </c>
      <c r="K19" s="11" t="n">
        <f aca="false">H19/E19</f>
        <v>-0.0738577091591905</v>
      </c>
      <c r="L19" s="12" t="n">
        <f aca="false">K19/J19</f>
        <v>-0.760734404339662</v>
      </c>
      <c r="M19" s="13" t="str">
        <f aca="false">IF(H19&gt;0,"Up",IF(H19&lt;0,"Down","Flat"))</f>
        <v>Down</v>
      </c>
    </row>
    <row r="20" customFormat="false" ht="15" hidden="false" customHeight="false" outlineLevel="0" collapsed="false">
      <c r="A20" s="6" t="s">
        <v>17</v>
      </c>
      <c r="B20" s="6" t="s">
        <v>18</v>
      </c>
      <c r="C20" s="7" t="n">
        <v>10</v>
      </c>
      <c r="D20" s="7" t="n">
        <v>15</v>
      </c>
      <c r="E20" s="8" t="n">
        <v>0.4639</v>
      </c>
      <c r="F20" s="8" t="n">
        <v>0.4939</v>
      </c>
      <c r="G20" s="6" t="n">
        <f aca="false">D20-C20</f>
        <v>5</v>
      </c>
      <c r="H20" s="9" t="n">
        <f aca="false">F20-E20</f>
        <v>0.03</v>
      </c>
      <c r="I20" s="10" t="n">
        <f aca="false">H20/G20</f>
        <v>0.00600000000000001</v>
      </c>
      <c r="J20" s="11" t="n">
        <f aca="false">G20/C20</f>
        <v>0.5</v>
      </c>
      <c r="K20" s="11" t="n">
        <f aca="false">H20/E20</f>
        <v>0.0646691097219229</v>
      </c>
      <c r="L20" s="12" t="n">
        <f aca="false">K20/J20</f>
        <v>0.129338219443846</v>
      </c>
      <c r="M20" s="13" t="str">
        <f aca="false">IF(H20&gt;0,"Up",IF(H20&lt;0,"Down","Flat"))</f>
        <v>Up</v>
      </c>
    </row>
    <row r="21" customFormat="false" ht="15" hidden="false" customHeight="false" outlineLevel="0" collapsed="false">
      <c r="A21" s="6" t="s">
        <v>17</v>
      </c>
      <c r="B21" s="6" t="s">
        <v>18</v>
      </c>
      <c r="C21" s="7" t="n">
        <v>15</v>
      </c>
      <c r="D21" s="7" t="n">
        <v>20</v>
      </c>
      <c r="E21" s="8" t="n">
        <v>0.4939</v>
      </c>
      <c r="F21" s="8" t="n">
        <v>0.5155</v>
      </c>
      <c r="G21" s="6" t="n">
        <f aca="false">D21-C21</f>
        <v>5</v>
      </c>
      <c r="H21" s="9" t="n">
        <f aca="false">F21-E21</f>
        <v>0.0216</v>
      </c>
      <c r="I21" s="10" t="n">
        <f aca="false">H21/G21</f>
        <v>0.00431999999999999</v>
      </c>
      <c r="J21" s="11" t="n">
        <f aca="false">G21/C21</f>
        <v>0.333333333333333</v>
      </c>
      <c r="K21" s="11" t="n">
        <f aca="false">H21/E21</f>
        <v>0.0437335493014779</v>
      </c>
      <c r="L21" s="12" t="n">
        <f aca="false">K21/J21</f>
        <v>0.131200647904434</v>
      </c>
      <c r="M21" s="13" t="str">
        <f aca="false">IF(H21&gt;0,"Up",IF(H21&lt;0,"Down","Flat"))</f>
        <v>Up</v>
      </c>
    </row>
    <row r="22" customFormat="false" ht="15" hidden="false" customHeight="false" outlineLevel="0" collapsed="false">
      <c r="A22" s="6" t="s">
        <v>17</v>
      </c>
      <c r="B22" s="6" t="s">
        <v>18</v>
      </c>
      <c r="C22" s="7" t="n">
        <v>20</v>
      </c>
      <c r="D22" s="7" t="n">
        <v>25</v>
      </c>
      <c r="E22" s="8" t="n">
        <v>0.5155</v>
      </c>
      <c r="F22" s="8" t="n">
        <v>0.6061</v>
      </c>
      <c r="G22" s="6" t="n">
        <f aca="false">D22-C22</f>
        <v>5</v>
      </c>
      <c r="H22" s="9" t="n">
        <f aca="false">F22-E22</f>
        <v>0.0906</v>
      </c>
      <c r="I22" s="10" t="n">
        <f aca="false">H22/G22</f>
        <v>0.01812</v>
      </c>
      <c r="J22" s="11" t="n">
        <f aca="false">G22/C22</f>
        <v>0.25</v>
      </c>
      <c r="K22" s="11" t="n">
        <f aca="false">H22/E22</f>
        <v>0.175751697381183</v>
      </c>
      <c r="L22" s="12" t="n">
        <f aca="false">K22/J22</f>
        <v>0.703006789524733</v>
      </c>
      <c r="M22" s="13" t="str">
        <f aca="false">IF(H22&gt;0,"Up",IF(H22&lt;0,"Down","Flat"))</f>
        <v>Up</v>
      </c>
    </row>
    <row r="23" customFormat="false" ht="15" hidden="false" customHeight="false" outlineLevel="0" collapsed="false">
      <c r="A23" s="6" t="s">
        <v>17</v>
      </c>
      <c r="B23" s="6" t="s">
        <v>18</v>
      </c>
      <c r="C23" s="7" t="n">
        <v>25</v>
      </c>
      <c r="D23" s="7" t="n">
        <v>30</v>
      </c>
      <c r="E23" s="8" t="n">
        <v>0.6061</v>
      </c>
      <c r="F23" s="8" t="n">
        <v>0.642</v>
      </c>
      <c r="G23" s="6" t="n">
        <f aca="false">D23-C23</f>
        <v>5</v>
      </c>
      <c r="H23" s="9" t="n">
        <f aca="false">F23-E23</f>
        <v>0.0359</v>
      </c>
      <c r="I23" s="10" t="n">
        <f aca="false">H23/G23</f>
        <v>0.00718000000000001</v>
      </c>
      <c r="J23" s="11" t="n">
        <f aca="false">G23/C23</f>
        <v>0.2</v>
      </c>
      <c r="K23" s="11" t="n">
        <f aca="false">H23/E23</f>
        <v>0.0592311499752517</v>
      </c>
      <c r="L23" s="12" t="n">
        <f aca="false">K23/J23</f>
        <v>0.296155749876258</v>
      </c>
      <c r="M23" s="13" t="str">
        <f aca="false">IF(H23&gt;0,"Up",IF(H23&lt;0,"Down","Flat"))</f>
        <v>Up</v>
      </c>
    </row>
    <row r="24" customFormat="false" ht="15" hidden="false" customHeight="false" outlineLevel="0" collapsed="false">
      <c r="A24" s="6" t="s">
        <v>17</v>
      </c>
      <c r="B24" s="6" t="s">
        <v>18</v>
      </c>
      <c r="C24" s="7" t="n">
        <v>30</v>
      </c>
      <c r="D24" s="7" t="n">
        <v>40</v>
      </c>
      <c r="E24" s="8" t="n">
        <v>0.642</v>
      </c>
      <c r="F24" s="8" t="n">
        <v>0.6525</v>
      </c>
      <c r="G24" s="6" t="n">
        <f aca="false">D24-C24</f>
        <v>10</v>
      </c>
      <c r="H24" s="9" t="n">
        <f aca="false">F24-E24</f>
        <v>0.0105</v>
      </c>
      <c r="I24" s="10" t="n">
        <f aca="false">H24/G24</f>
        <v>0.00105</v>
      </c>
      <c r="J24" s="11" t="n">
        <f aca="false">G24/C24</f>
        <v>0.333333333333333</v>
      </c>
      <c r="K24" s="11" t="n">
        <f aca="false">H24/E24</f>
        <v>0.0163551401869158</v>
      </c>
      <c r="L24" s="12" t="n">
        <f aca="false">K24/J24</f>
        <v>0.0490654205607475</v>
      </c>
      <c r="M24" s="13" t="str">
        <f aca="false">IF(H24&gt;0,"Up",IF(H24&lt;0,"Down","Flat"))</f>
        <v>Up</v>
      </c>
    </row>
    <row r="25" customFormat="false" ht="15" hidden="false" customHeight="false" outlineLevel="0" collapsed="false">
      <c r="A25" s="6" t="s">
        <v>19</v>
      </c>
      <c r="B25" s="6" t="s">
        <v>20</v>
      </c>
      <c r="C25" s="7" t="n">
        <v>500</v>
      </c>
      <c r="D25" s="7" t="n">
        <v>550</v>
      </c>
      <c r="E25" s="8" t="n">
        <v>0.3615</v>
      </c>
      <c r="F25" s="8" t="n">
        <v>0.4004</v>
      </c>
      <c r="G25" s="6" t="n">
        <f aca="false">D25-C25</f>
        <v>50</v>
      </c>
      <c r="H25" s="9" t="n">
        <f aca="false">F25-E25</f>
        <v>0.0389</v>
      </c>
      <c r="I25" s="10" t="n">
        <f aca="false">H25/G25</f>
        <v>0.000778</v>
      </c>
      <c r="J25" s="11" t="n">
        <f aca="false">G25/C25</f>
        <v>0.1</v>
      </c>
      <c r="K25" s="11" t="n">
        <f aca="false">H25/E25</f>
        <v>0.107607192254495</v>
      </c>
      <c r="L25" s="12" t="n">
        <f aca="false">K25/J25</f>
        <v>1.07607192254495</v>
      </c>
      <c r="M25" s="13" t="str">
        <f aca="false">IF(H25&gt;0,"Up",IF(H25&lt;0,"Down","Flat"))</f>
        <v>Up</v>
      </c>
    </row>
    <row r="26" customFormat="false" ht="15" hidden="false" customHeight="false" outlineLevel="0" collapsed="false">
      <c r="A26" s="6" t="s">
        <v>19</v>
      </c>
      <c r="B26" s="6" t="s">
        <v>20</v>
      </c>
      <c r="C26" s="7" t="n">
        <v>550</v>
      </c>
      <c r="D26" s="7" t="n">
        <v>600</v>
      </c>
      <c r="E26" s="8" t="n">
        <v>0.4004</v>
      </c>
      <c r="F26" s="8" t="n">
        <v>0.4613</v>
      </c>
      <c r="G26" s="6" t="n">
        <f aca="false">D26-C26</f>
        <v>50</v>
      </c>
      <c r="H26" s="9" t="n">
        <f aca="false">F26-E26</f>
        <v>0.0609</v>
      </c>
      <c r="I26" s="10" t="n">
        <f aca="false">H26/G26</f>
        <v>0.001218</v>
      </c>
      <c r="J26" s="11" t="n">
        <f aca="false">G26/C26</f>
        <v>0.0909090909090909</v>
      </c>
      <c r="K26" s="11" t="n">
        <f aca="false">H26/E26</f>
        <v>0.152097902097902</v>
      </c>
      <c r="L26" s="12" t="n">
        <f aca="false">K26/J26</f>
        <v>1.67307692307692</v>
      </c>
      <c r="M26" s="13" t="str">
        <f aca="false">IF(H26&gt;0,"Up",IF(H26&lt;0,"Down","Flat"))</f>
        <v>Up</v>
      </c>
    </row>
    <row r="27" customFormat="false" ht="15" hidden="false" customHeight="false" outlineLevel="0" collapsed="false">
      <c r="A27" s="6" t="s">
        <v>19</v>
      </c>
      <c r="B27" s="6" t="s">
        <v>20</v>
      </c>
      <c r="C27" s="7" t="n">
        <v>600</v>
      </c>
      <c r="D27" s="7" t="n">
        <v>650</v>
      </c>
      <c r="E27" s="8" t="n">
        <v>0.4613</v>
      </c>
      <c r="F27" s="8" t="n">
        <v>0.5112</v>
      </c>
      <c r="G27" s="6" t="n">
        <f aca="false">D27-C27</f>
        <v>50</v>
      </c>
      <c r="H27" s="9" t="n">
        <f aca="false">F27-E27</f>
        <v>0.0499</v>
      </c>
      <c r="I27" s="10" t="n">
        <f aca="false">H27/G27</f>
        <v>0.000998</v>
      </c>
      <c r="J27" s="11" t="n">
        <f aca="false">G27/C27</f>
        <v>0.0833333333333333</v>
      </c>
      <c r="K27" s="11" t="n">
        <f aca="false">H27/E27</f>
        <v>0.108172555820507</v>
      </c>
      <c r="L27" s="12" t="n">
        <f aca="false">K27/J27</f>
        <v>1.29807066984609</v>
      </c>
      <c r="M27" s="13" t="str">
        <f aca="false">IF(H27&gt;0,"Up",IF(H27&lt;0,"Down","Flat"))</f>
        <v>Up</v>
      </c>
    </row>
    <row r="28" customFormat="false" ht="15" hidden="false" customHeight="false" outlineLevel="0" collapsed="false">
      <c r="A28" s="6" t="s">
        <v>19</v>
      </c>
      <c r="B28" s="6" t="s">
        <v>20</v>
      </c>
      <c r="C28" s="7" t="n">
        <v>650</v>
      </c>
      <c r="D28" s="7" t="n">
        <v>700</v>
      </c>
      <c r="E28" s="8" t="n">
        <v>0.5112</v>
      </c>
      <c r="F28" s="8" t="n">
        <v>0.5278</v>
      </c>
      <c r="G28" s="6" t="n">
        <f aca="false">D28-C28</f>
        <v>50</v>
      </c>
      <c r="H28" s="9" t="n">
        <f aca="false">F28-E28</f>
        <v>0.0166000000000001</v>
      </c>
      <c r="I28" s="10" t="n">
        <f aca="false">H28/G28</f>
        <v>0.000332000000000001</v>
      </c>
      <c r="J28" s="11" t="n">
        <f aca="false">G28/C28</f>
        <v>0.0769230769230769</v>
      </c>
      <c r="K28" s="11" t="n">
        <f aca="false">H28/E28</f>
        <v>0.0324726134585291</v>
      </c>
      <c r="L28" s="12" t="n">
        <f aca="false">K28/J28</f>
        <v>0.422143974960878</v>
      </c>
      <c r="M28" s="13" t="str">
        <f aca="false">IF(H28&gt;0,"Up",IF(H28&lt;0,"Down","Flat"))</f>
        <v>Up</v>
      </c>
    </row>
    <row r="29" customFormat="false" ht="15" hidden="false" customHeight="false" outlineLevel="0" collapsed="false">
      <c r="A29" s="6" t="s">
        <v>21</v>
      </c>
      <c r="B29" s="6" t="s">
        <v>20</v>
      </c>
      <c r="C29" s="7" t="n">
        <v>500</v>
      </c>
      <c r="D29" s="7" t="n">
        <v>550</v>
      </c>
      <c r="E29" s="8" t="n">
        <v>0.4305</v>
      </c>
      <c r="F29" s="8" t="n">
        <v>0.4796</v>
      </c>
      <c r="G29" s="6" t="n">
        <f aca="false">D29-C29</f>
        <v>50</v>
      </c>
      <c r="H29" s="9" t="n">
        <f aca="false">F29-E29</f>
        <v>0.0491</v>
      </c>
      <c r="I29" s="10" t="n">
        <f aca="false">H29/G29</f>
        <v>0.000982000000000001</v>
      </c>
      <c r="J29" s="11" t="n">
        <f aca="false">G29/C29</f>
        <v>0.1</v>
      </c>
      <c r="K29" s="11" t="n">
        <f aca="false">H29/E29</f>
        <v>0.114053426248548</v>
      </c>
      <c r="L29" s="12" t="n">
        <f aca="false">K29/J29</f>
        <v>1.14053426248548</v>
      </c>
      <c r="M29" s="13" t="str">
        <f aca="false">IF(H29&gt;0,"Up",IF(H29&lt;0,"Down","Flat"))</f>
        <v>Up</v>
      </c>
    </row>
    <row r="30" customFormat="false" ht="15" hidden="false" customHeight="false" outlineLevel="0" collapsed="false">
      <c r="A30" s="6" t="s">
        <v>21</v>
      </c>
      <c r="B30" s="6" t="s">
        <v>20</v>
      </c>
      <c r="C30" s="7" t="n">
        <v>550</v>
      </c>
      <c r="D30" s="7" t="n">
        <v>600</v>
      </c>
      <c r="E30" s="8" t="n">
        <v>0.4796</v>
      </c>
      <c r="F30" s="8" t="n">
        <v>0.5155</v>
      </c>
      <c r="G30" s="6" t="n">
        <f aca="false">D30-C30</f>
        <v>50</v>
      </c>
      <c r="H30" s="9" t="n">
        <f aca="false">F30-E30</f>
        <v>0.0358999999999999</v>
      </c>
      <c r="I30" s="10" t="n">
        <f aca="false">H30/G30</f>
        <v>0.000717999999999999</v>
      </c>
      <c r="J30" s="11" t="n">
        <f aca="false">G30/C30</f>
        <v>0.0909090909090909</v>
      </c>
      <c r="K30" s="11" t="n">
        <f aca="false">H30/E30</f>
        <v>0.0748540450375311</v>
      </c>
      <c r="L30" s="12" t="n">
        <f aca="false">K30/J30</f>
        <v>0.823394495412842</v>
      </c>
      <c r="M30" s="13" t="str">
        <f aca="false">IF(H30&gt;0,"Up",IF(H30&lt;0,"Down","Flat"))</f>
        <v>Up</v>
      </c>
    </row>
    <row r="31" customFormat="false" ht="15" hidden="false" customHeight="false" outlineLevel="0" collapsed="false">
      <c r="A31" s="6" t="s">
        <v>21</v>
      </c>
      <c r="B31" s="6" t="s">
        <v>20</v>
      </c>
      <c r="C31" s="7" t="n">
        <v>600</v>
      </c>
      <c r="D31" s="7" t="n">
        <v>650</v>
      </c>
      <c r="E31" s="8" t="n">
        <v>0.5155</v>
      </c>
      <c r="F31" s="8" t="n">
        <v>0.5589</v>
      </c>
      <c r="G31" s="6" t="n">
        <f aca="false">D31-C31</f>
        <v>50</v>
      </c>
      <c r="H31" s="9" t="n">
        <f aca="false">F31-E31</f>
        <v>0.0434</v>
      </c>
      <c r="I31" s="10" t="n">
        <f aca="false">H31/G31</f>
        <v>0.000868</v>
      </c>
      <c r="J31" s="11" t="n">
        <f aca="false">G31/C31</f>
        <v>0.0833333333333333</v>
      </c>
      <c r="K31" s="11" t="n">
        <f aca="false">H31/E31</f>
        <v>0.0841901066925315</v>
      </c>
      <c r="L31" s="12" t="n">
        <f aca="false">K31/J31</f>
        <v>1.01028128031038</v>
      </c>
      <c r="M31" s="13" t="str">
        <f aca="false">IF(H31&gt;0,"Up",IF(H31&lt;0,"Down","Flat"))</f>
        <v>Up</v>
      </c>
    </row>
    <row r="32" customFormat="false" ht="15" hidden="false" customHeight="false" outlineLevel="0" collapsed="false">
      <c r="A32" s="6" t="s">
        <v>21</v>
      </c>
      <c r="B32" s="6" t="s">
        <v>20</v>
      </c>
      <c r="C32" s="7" t="n">
        <v>650</v>
      </c>
      <c r="D32" s="7" t="n">
        <v>700</v>
      </c>
      <c r="E32" s="8" t="n">
        <v>0.5589</v>
      </c>
      <c r="F32" s="8" t="n">
        <v>0.5735</v>
      </c>
      <c r="G32" s="6" t="n">
        <f aca="false">D32-C32</f>
        <v>50</v>
      </c>
      <c r="H32" s="9" t="n">
        <f aca="false">F32-E32</f>
        <v>0.0146000000000001</v>
      </c>
      <c r="I32" s="10" t="n">
        <f aca="false">H32/G32</f>
        <v>0.000292000000000001</v>
      </c>
      <c r="J32" s="11" t="n">
        <f aca="false">G32/C32</f>
        <v>0.0769230769230769</v>
      </c>
      <c r="K32" s="11" t="n">
        <f aca="false">H32/E32</f>
        <v>0.0261227410985866</v>
      </c>
      <c r="L32" s="12" t="n">
        <f aca="false">K32/J32</f>
        <v>0.339595634281626</v>
      </c>
      <c r="M32" s="13" t="str">
        <f aca="false">IF(H32&gt;0,"Up",IF(H32&lt;0,"Down","Flat"))</f>
        <v>Up</v>
      </c>
    </row>
    <row r="33" customFormat="false" ht="15" hidden="false" customHeight="false" outlineLevel="0" collapsed="false">
      <c r="A33" s="6" t="s">
        <v>22</v>
      </c>
      <c r="B33" s="6" t="s">
        <v>20</v>
      </c>
      <c r="C33" s="7" t="n">
        <v>500</v>
      </c>
      <c r="D33" s="7" t="n">
        <v>550</v>
      </c>
      <c r="E33" s="8" t="n">
        <v>0.5963</v>
      </c>
      <c r="F33" s="8" t="n">
        <v>0.6386</v>
      </c>
      <c r="G33" s="6" t="n">
        <f aca="false">D33-C33</f>
        <v>50</v>
      </c>
      <c r="H33" s="9" t="n">
        <f aca="false">F33-E33</f>
        <v>0.0422999999999999</v>
      </c>
      <c r="I33" s="10" t="n">
        <f aca="false">H33/G33</f>
        <v>0.000845999999999998</v>
      </c>
      <c r="J33" s="11" t="n">
        <f aca="false">G33/C33</f>
        <v>0.1</v>
      </c>
      <c r="K33" s="11" t="n">
        <f aca="false">H33/E33</f>
        <v>0.070937447593493</v>
      </c>
      <c r="L33" s="12" t="n">
        <f aca="false">K33/J33</f>
        <v>0.70937447593493</v>
      </c>
      <c r="M33" s="13" t="str">
        <f aca="false">IF(H33&gt;0,"Up",IF(H33&lt;0,"Down","Flat"))</f>
        <v>Up</v>
      </c>
    </row>
    <row r="34" customFormat="false" ht="15" hidden="false" customHeight="false" outlineLevel="0" collapsed="false">
      <c r="A34" s="6" t="s">
        <v>22</v>
      </c>
      <c r="B34" s="6" t="s">
        <v>20</v>
      </c>
      <c r="C34" s="7" t="n">
        <v>550</v>
      </c>
      <c r="D34" s="7" t="n">
        <v>600</v>
      </c>
      <c r="E34" s="8" t="n">
        <v>0.6386</v>
      </c>
      <c r="F34" s="8" t="n">
        <v>0.6305</v>
      </c>
      <c r="G34" s="6" t="n">
        <f aca="false">D34-C34</f>
        <v>50</v>
      </c>
      <c r="H34" s="9" t="n">
        <f aca="false">F34-E34</f>
        <v>-0.0081</v>
      </c>
      <c r="I34" s="10" t="n">
        <f aca="false">H34/G34</f>
        <v>-0.000162</v>
      </c>
      <c r="J34" s="11" t="n">
        <f aca="false">G34/C34</f>
        <v>0.0909090909090909</v>
      </c>
      <c r="K34" s="11" t="n">
        <f aca="false">H34/E34</f>
        <v>-0.0126839962417789</v>
      </c>
      <c r="L34" s="12" t="n">
        <f aca="false">K34/J34</f>
        <v>-0.139523958659568</v>
      </c>
      <c r="M34" s="13" t="str">
        <f aca="false">IF(H34&gt;0,"Up",IF(H34&lt;0,"Down","Flat"))</f>
        <v>Down</v>
      </c>
    </row>
    <row r="35" customFormat="false" ht="15" hidden="false" customHeight="false" outlineLevel="0" collapsed="false">
      <c r="A35" s="6" t="s">
        <v>22</v>
      </c>
      <c r="B35" s="6" t="s">
        <v>20</v>
      </c>
      <c r="C35" s="7" t="n">
        <v>600</v>
      </c>
      <c r="D35" s="7" t="n">
        <v>650</v>
      </c>
      <c r="E35" s="8" t="n">
        <v>0.6305</v>
      </c>
      <c r="F35" s="8" t="n">
        <v>0.6501</v>
      </c>
      <c r="G35" s="6" t="n">
        <f aca="false">D35-C35</f>
        <v>50</v>
      </c>
      <c r="H35" s="9" t="n">
        <f aca="false">F35-E35</f>
        <v>0.0196000000000001</v>
      </c>
      <c r="I35" s="10" t="n">
        <f aca="false">H35/G35</f>
        <v>0.000392000000000001</v>
      </c>
      <c r="J35" s="11" t="n">
        <f aca="false">G35/C35</f>
        <v>0.0833333333333333</v>
      </c>
      <c r="K35" s="11" t="n">
        <f aca="false">H35/E35</f>
        <v>0.0310864393338621</v>
      </c>
      <c r="L35" s="12" t="n">
        <f aca="false">K35/J35</f>
        <v>0.373037272006345</v>
      </c>
      <c r="M35" s="13" t="str">
        <f aca="false">IF(H35&gt;0,"Up",IF(H35&lt;0,"Down","Flat"))</f>
        <v>Up</v>
      </c>
    </row>
    <row r="36" customFormat="false" ht="15" hidden="false" customHeight="false" outlineLevel="0" collapsed="false">
      <c r="A36" s="6" t="s">
        <v>22</v>
      </c>
      <c r="B36" s="6" t="s">
        <v>20</v>
      </c>
      <c r="C36" s="7" t="n">
        <v>650</v>
      </c>
      <c r="D36" s="7" t="n">
        <v>700</v>
      </c>
      <c r="E36" s="8" t="n">
        <v>0.6501</v>
      </c>
      <c r="F36" s="8" t="n">
        <v>0.6597</v>
      </c>
      <c r="G36" s="6" t="n">
        <f aca="false">D36-C36</f>
        <v>50</v>
      </c>
      <c r="H36" s="9" t="n">
        <f aca="false">F36-E36</f>
        <v>0.00959999999999994</v>
      </c>
      <c r="I36" s="10" t="n">
        <f aca="false">H36/G36</f>
        <v>0.000191999999999999</v>
      </c>
      <c r="J36" s="11" t="n">
        <f aca="false">G36/C36</f>
        <v>0.0769230769230769</v>
      </c>
      <c r="K36" s="11" t="n">
        <f aca="false">H36/E36</f>
        <v>0.0147669589293954</v>
      </c>
      <c r="L36" s="12" t="n">
        <f aca="false">K36/J36</f>
        <v>0.19197046608214</v>
      </c>
      <c r="M36" s="13" t="str">
        <f aca="false">IF(H36&gt;0,"Up",IF(H36&lt;0,"Down","Flat"))</f>
        <v>Up</v>
      </c>
    </row>
    <row r="37" customFormat="false" ht="15" hidden="false" customHeight="false" outlineLevel="0" collapsed="false">
      <c r="A37" s="6" t="s">
        <v>23</v>
      </c>
      <c r="B37" s="6" t="s">
        <v>20</v>
      </c>
      <c r="C37" s="7" t="n">
        <v>550</v>
      </c>
      <c r="D37" s="7" t="n">
        <v>560</v>
      </c>
      <c r="E37" s="8" t="n">
        <v>0.4796</v>
      </c>
      <c r="F37" s="8" t="n">
        <v>0.4824</v>
      </c>
      <c r="G37" s="6" t="n">
        <f aca="false">D37-C37</f>
        <v>10</v>
      </c>
      <c r="H37" s="9" t="n">
        <f aca="false">F37-E37</f>
        <v>0.00279999999999997</v>
      </c>
      <c r="I37" s="10" t="n">
        <f aca="false">H37/G37</f>
        <v>0.000279999999999997</v>
      </c>
      <c r="J37" s="11" t="n">
        <f aca="false">G37/C37</f>
        <v>0.0181818181818182</v>
      </c>
      <c r="K37" s="11" t="n">
        <f aca="false">H37/E37</f>
        <v>0.00583819849874889</v>
      </c>
      <c r="L37" s="12" t="n">
        <f aca="false">K37/J37</f>
        <v>0.321100917431189</v>
      </c>
      <c r="M37" s="13" t="str">
        <f aca="false">IF(H37&gt;0,"Up",IF(H37&lt;0,"Down","Flat"))</f>
        <v>Up</v>
      </c>
    </row>
    <row r="38" customFormat="false" ht="15" hidden="false" customHeight="false" outlineLevel="0" collapsed="false">
      <c r="A38" s="6" t="s">
        <v>23</v>
      </c>
      <c r="B38" s="6" t="s">
        <v>20</v>
      </c>
      <c r="C38" s="7" t="n">
        <v>560</v>
      </c>
      <c r="D38" s="7" t="n">
        <v>570</v>
      </c>
      <c r="E38" s="8" t="n">
        <v>0.4824</v>
      </c>
      <c r="F38" s="8" t="n">
        <v>0.4937</v>
      </c>
      <c r="G38" s="6" t="n">
        <f aca="false">D38-C38</f>
        <v>10</v>
      </c>
      <c r="H38" s="9" t="n">
        <f aca="false">F38-E38</f>
        <v>0.0113</v>
      </c>
      <c r="I38" s="10" t="n">
        <f aca="false">H38/G38</f>
        <v>0.00113</v>
      </c>
      <c r="J38" s="11" t="n">
        <f aca="false">G38/C38</f>
        <v>0.0178571428571429</v>
      </c>
      <c r="K38" s="11" t="n">
        <f aca="false">H38/E38</f>
        <v>0.0234245439469321</v>
      </c>
      <c r="L38" s="12" t="n">
        <f aca="false">K38/J38</f>
        <v>1.3117744610282</v>
      </c>
      <c r="M38" s="13" t="str">
        <f aca="false">IF(H38&gt;0,"Up",IF(H38&lt;0,"Down","Flat"))</f>
        <v>Up</v>
      </c>
    </row>
    <row r="39" customFormat="false" ht="15" hidden="false" customHeight="false" outlineLevel="0" collapsed="false">
      <c r="A39" s="6" t="s">
        <v>23</v>
      </c>
      <c r="B39" s="6" t="s">
        <v>20</v>
      </c>
      <c r="C39" s="7" t="n">
        <v>570</v>
      </c>
      <c r="D39" s="7" t="n">
        <v>580</v>
      </c>
      <c r="E39" s="8" t="n">
        <v>0.4937</v>
      </c>
      <c r="F39" s="8" t="n">
        <v>0.4973</v>
      </c>
      <c r="G39" s="6" t="n">
        <f aca="false">D39-C39</f>
        <v>10</v>
      </c>
      <c r="H39" s="9" t="n">
        <f aca="false">F39-E39</f>
        <v>0.00359999999999999</v>
      </c>
      <c r="I39" s="10" t="n">
        <f aca="false">H39/G39</f>
        <v>0.000359999999999999</v>
      </c>
      <c r="J39" s="11" t="n">
        <f aca="false">G39/C39</f>
        <v>0.0175438596491228</v>
      </c>
      <c r="K39" s="11" t="n">
        <f aca="false">H39/E39</f>
        <v>0.00729187765849705</v>
      </c>
      <c r="L39" s="12" t="n">
        <f aca="false">K39/J39</f>
        <v>0.415637026534332</v>
      </c>
      <c r="M39" s="13" t="str">
        <f aca="false">IF(H39&gt;0,"Up",IF(H39&lt;0,"Down","Flat"))</f>
        <v>Up</v>
      </c>
    </row>
    <row r="40" customFormat="false" ht="15" hidden="false" customHeight="false" outlineLevel="0" collapsed="false">
      <c r="A40" s="6" t="s">
        <v>23</v>
      </c>
      <c r="B40" s="6" t="s">
        <v>20</v>
      </c>
      <c r="C40" s="7" t="n">
        <v>580</v>
      </c>
      <c r="D40" s="7" t="n">
        <v>600</v>
      </c>
      <c r="E40" s="8" t="n">
        <v>0.4973</v>
      </c>
      <c r="F40" s="8" t="n">
        <v>0.5155</v>
      </c>
      <c r="G40" s="6" t="n">
        <f aca="false">D40-C40</f>
        <v>20</v>
      </c>
      <c r="H40" s="9" t="n">
        <f aca="false">F40-E40</f>
        <v>0.0181999999999999</v>
      </c>
      <c r="I40" s="10" t="n">
        <f aca="false">H40/G40</f>
        <v>0.000909999999999997</v>
      </c>
      <c r="J40" s="11" t="n">
        <f aca="false">G40/C40</f>
        <v>0.0344827586206897</v>
      </c>
      <c r="K40" s="11" t="n">
        <f aca="false">H40/E40</f>
        <v>0.0365976271868086</v>
      </c>
      <c r="L40" s="12" t="n">
        <f aca="false">K40/J40</f>
        <v>1.06133118841745</v>
      </c>
      <c r="M40" s="13" t="str">
        <f aca="false">IF(H40&gt;0,"Up",IF(H40&lt;0,"Down","Flat"))</f>
        <v>Up</v>
      </c>
    </row>
    <row r="41" customFormat="false" ht="15" hidden="false" customHeight="false" outlineLevel="0" collapsed="false">
      <c r="A41" s="6" t="s">
        <v>24</v>
      </c>
      <c r="B41" s="6" t="s">
        <v>16</v>
      </c>
      <c r="C41" s="7" t="n">
        <v>27.5</v>
      </c>
      <c r="D41" s="7" t="n">
        <v>46.5</v>
      </c>
      <c r="E41" s="8" t="n">
        <v>0.043</v>
      </c>
      <c r="F41" s="8" t="n">
        <v>0.9392</v>
      </c>
      <c r="G41" s="6" t="n">
        <f aca="false">D41-C41</f>
        <v>19</v>
      </c>
      <c r="H41" s="9" t="n">
        <f aca="false">F41-E41</f>
        <v>0.8962</v>
      </c>
      <c r="I41" s="10" t="n">
        <f aca="false">H41/G41</f>
        <v>0.0471684210526316</v>
      </c>
      <c r="J41" s="11" t="n">
        <f aca="false">G41/C41</f>
        <v>0.690909090909091</v>
      </c>
      <c r="K41" s="11" t="n">
        <f aca="false">H41/E41</f>
        <v>20.8418604651163</v>
      </c>
      <c r="L41" s="12" t="n">
        <f aca="false">K41/J41</f>
        <v>30.1658506731946</v>
      </c>
      <c r="M41" s="13" t="str">
        <f aca="false">IF(H41&gt;0,"Up",IF(H41&lt;0,"Down","Flat"))</f>
        <v>Up</v>
      </c>
    </row>
    <row r="42" customFormat="false" ht="15" hidden="false" customHeight="false" outlineLevel="0" collapsed="false">
      <c r="A42" s="6" t="s">
        <v>25</v>
      </c>
      <c r="B42" s="6" t="s">
        <v>14</v>
      </c>
      <c r="C42" s="7" t="n">
        <v>4.46</v>
      </c>
      <c r="D42" s="7" t="n">
        <v>5</v>
      </c>
      <c r="E42" s="8" t="n">
        <v>0.9807</v>
      </c>
      <c r="F42" s="8" t="n">
        <v>0.9745</v>
      </c>
      <c r="G42" s="6" t="n">
        <f aca="false">D42-C42</f>
        <v>0.54</v>
      </c>
      <c r="H42" s="9" t="n">
        <f aca="false">F42-E42</f>
        <v>-0.00619999999999998</v>
      </c>
      <c r="I42" s="10" t="n">
        <f aca="false">H42/G42</f>
        <v>-0.0114814814814815</v>
      </c>
      <c r="J42" s="11" t="n">
        <f aca="false">G42/C42</f>
        <v>0.121076233183857</v>
      </c>
      <c r="K42" s="11" t="n">
        <f aca="false">H42/E42</f>
        <v>-0.00632201488732536</v>
      </c>
      <c r="L42" s="12" t="n">
        <f aca="false">K42/J42</f>
        <v>-0.0522151599953169</v>
      </c>
      <c r="M42" s="13" t="str">
        <f aca="false">IF(H42&gt;0,"Up",IF(H42&lt;0,"Down","Flat"))</f>
        <v>Down</v>
      </c>
    </row>
  </sheetData>
  <autoFilter ref="A1:M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4" t="s">
        <v>37</v>
      </c>
    </row>
    <row r="2" customFormat="false" ht="15" hidden="false" customHeight="false" outlineLevel="0" collapsed="false">
      <c r="A2" s="14" t="s">
        <v>38</v>
      </c>
    </row>
    <row r="3" customFormat="false" ht="15" hidden="false" customHeight="false" outlineLevel="0" collapsed="false">
      <c r="A3" s="14" t="s">
        <v>39</v>
      </c>
    </row>
    <row r="4" customFormat="false" ht="15" hidden="false" customHeight="false" outlineLevel="0" collapsed="false">
      <c r="A4" s="14" t="s">
        <v>40</v>
      </c>
    </row>
    <row r="5" customFormat="false" ht="15" hidden="false" customHeight="false" outlineLevel="0" collapsed="false">
      <c r="A5" s="1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2026-10-07T05:59:10Z</dcterms:created>
  <dc:creator>openpyxl</dc:creator>
  <dc:description/>
  <dc:language>en-US</dc:language>
  <cp:lastModifiedBy/>
  <dcterms:modified xsi:type="dcterms:W3CDTF">2026-10-07T05:59:11Z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